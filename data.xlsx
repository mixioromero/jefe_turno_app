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75" windowWidth="51840" windowHeight="21120" tabRatio="600" firstSheet="0" activeTab="8" autoFilterDateGrouping="1"/>
  </bookViews>
  <sheets>
    <sheet xmlns:r="http://schemas.openxmlformats.org/officeDocument/2006/relationships" name="Panel de Registros" sheetId="1" state="visible" r:id="rId1"/>
    <sheet xmlns:r="http://schemas.openxmlformats.org/officeDocument/2006/relationships" name="MAESTRO_LISTAS" sheetId="2" state="hidden" r:id="rId2"/>
    <sheet xmlns:r="http://schemas.openxmlformats.org/officeDocument/2006/relationships" name="Bloqueos Activos" sheetId="3" state="visible" r:id="rId3"/>
    <sheet xmlns:r="http://schemas.openxmlformats.org/officeDocument/2006/relationships" name="ART" sheetId="4" state="visible" r:id="rId4"/>
    <sheet xmlns:r="http://schemas.openxmlformats.org/officeDocument/2006/relationships" name="Checklist Moviles" sheetId="5" state="visible" r:id="rId5"/>
    <sheet xmlns:r="http://schemas.openxmlformats.org/officeDocument/2006/relationships" name="Checklist Fijos" sheetId="6" state="visible" r:id="rId6"/>
    <sheet xmlns:r="http://schemas.openxmlformats.org/officeDocument/2006/relationships" name="PTS" sheetId="7" state="visible" r:id="rId7"/>
    <sheet xmlns:r="http://schemas.openxmlformats.org/officeDocument/2006/relationships" name="Anomalías" sheetId="8" state="visible" r:id="rId8"/>
    <sheet xmlns:r="http://schemas.openxmlformats.org/officeDocument/2006/relationships" name="Avisos SAP" sheetId="9" state="visible" r:id="rId9"/>
    <sheet xmlns:r="http://schemas.openxmlformats.org/officeDocument/2006/relationships" name="Bitácora Turno" sheetId="10" state="visible" r:id="rId10"/>
    <sheet xmlns:r="http://schemas.openxmlformats.org/officeDocument/2006/relationships" name="Entrega Turno" sheetId="11" state="visible" r:id="rId11"/>
    <sheet xmlns:r="http://schemas.openxmlformats.org/officeDocument/2006/relationships" name="Asignacion VHF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\-yyyy"/>
    <numFmt numFmtId="165" formatCode="hh:mm"/>
  </numFmts>
  <fonts count="22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color rgb="FFFFFFFF"/>
      <sz val="24"/>
      <scheme val="minor"/>
    </font>
    <font>
      <name val="Calibri"/>
      <family val="2"/>
      <i val="1"/>
      <color rgb="FF1F4E79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C00000"/>
      <sz val="28"/>
      <scheme val="minor"/>
    </font>
    <font>
      <name val="Calibri"/>
      <family val="2"/>
      <color rgb="FF0563C1"/>
      <sz val="10"/>
      <u val="single"/>
      <scheme val="minor"/>
    </font>
    <font>
      <name val="Calibri"/>
      <family val="2"/>
      <b val="1"/>
      <color rgb="FFED7D31"/>
      <sz val="28"/>
      <scheme val="minor"/>
    </font>
    <font>
      <name val="Calibri"/>
      <family val="2"/>
      <b val="1"/>
      <color rgb="FF0070C0"/>
      <sz val="28"/>
      <scheme val="minor"/>
    </font>
    <font>
      <name val="Calibri"/>
      <family val="2"/>
      <b val="1"/>
      <color rgb="FF7030A0"/>
      <sz val="28"/>
      <scheme val="minor"/>
    </font>
    <font>
      <name val="Calibri"/>
      <family val="2"/>
      <b val="1"/>
      <color rgb="FF538135"/>
      <sz val="28"/>
      <scheme val="minor"/>
    </font>
    <font>
      <name val="Calibri"/>
      <family val="2"/>
      <b val="1"/>
      <color rgb="FF375623"/>
      <sz val="28"/>
      <scheme val="minor"/>
    </font>
    <font>
      <name val="Calibri"/>
      <family val="2"/>
      <b val="1"/>
      <color rgb="FFBF8F00"/>
      <sz val="28"/>
      <scheme val="minor"/>
    </font>
    <font>
      <name val="Calibri"/>
      <family val="2"/>
      <b val="1"/>
      <color rgb="FF808080"/>
      <sz val="28"/>
      <scheme val="minor"/>
    </font>
    <font>
      <name val="Calibri"/>
      <family val="2"/>
      <b val="1"/>
      <color rgb="FF2F5496"/>
      <sz val="28"/>
      <scheme val="minor"/>
    </font>
    <font>
      <name val="Calibri"/>
      <family val="2"/>
      <b val="1"/>
      <color rgb="FF5B9BD5"/>
      <sz val="28"/>
      <scheme val="minor"/>
    </font>
    <font>
      <name val="Calibri"/>
      <family val="2"/>
      <b val="1"/>
      <color rgb="FF1F4E79"/>
      <sz val="20"/>
      <scheme val="minor"/>
    </font>
    <font>
      <name val="Calibri"/>
      <family val="2"/>
      <b val="1"/>
      <color rgb="FF404040"/>
      <sz val="2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i val="1"/>
      <color rgb="FF808080"/>
      <sz val="10"/>
      <scheme val="minor"/>
    </font>
  </fonts>
  <fills count="30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1F4E7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1F0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27" borderId="0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8" fillId="7" borderId="2" applyAlignment="1" pivotButton="0" quotePrefix="0" xfId="0">
      <alignment horizontal="center"/>
    </xf>
    <xf numFmtId="0" fontId="6" fillId="6" borderId="3" applyAlignment="1" pivotButton="0" quotePrefix="0" xfId="0">
      <alignment horizontal="center"/>
    </xf>
    <xf numFmtId="0" fontId="7" fillId="7" borderId="4" applyAlignment="1" pivotButton="0" quotePrefix="0" xfId="0">
      <alignment horizontal="center"/>
    </xf>
    <xf numFmtId="0" fontId="8" fillId="7" borderId="5" applyAlignment="1" pivotButton="0" quotePrefix="0" xfId="0">
      <alignment horizontal="center"/>
    </xf>
    <xf numFmtId="0" fontId="9" fillId="9" borderId="4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6" fillId="8" borderId="3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0" fontId="8" fillId="9" borderId="5" applyAlignment="1" pivotButton="0" quotePrefix="0" xfId="0">
      <alignment horizontal="center"/>
    </xf>
    <xf numFmtId="0" fontId="8" fillId="9" borderId="2" applyAlignment="1" pivotButton="0" quotePrefix="0" xfId="0">
      <alignment horizontal="center"/>
    </xf>
    <xf numFmtId="0" fontId="10" fillId="11" borderId="4" applyAlignment="1" pivotButton="0" quotePrefix="0" xfId="0">
      <alignment horizontal="center"/>
    </xf>
    <xf numFmtId="0" fontId="10" fillId="11" borderId="0" applyAlignment="1" pivotButton="0" quotePrefix="0" xfId="0">
      <alignment horizontal="center"/>
    </xf>
    <xf numFmtId="0" fontId="6" fillId="10" borderId="3" applyAlignment="1" pivotButton="0" quotePrefix="0" xfId="0">
      <alignment horizontal="center"/>
    </xf>
    <xf numFmtId="0" fontId="6" fillId="10" borderId="1" applyAlignment="1" pivotButton="0" quotePrefix="0" xfId="0">
      <alignment horizontal="center"/>
    </xf>
    <xf numFmtId="0" fontId="8" fillId="11" borderId="5" applyAlignment="1" pivotButton="0" quotePrefix="0" xfId="0">
      <alignment horizontal="center"/>
    </xf>
    <xf numFmtId="0" fontId="8" fillId="11" borderId="2" applyAlignment="1" pivotButton="0" quotePrefix="0" xfId="0">
      <alignment horizontal="center"/>
    </xf>
    <xf numFmtId="0" fontId="11" fillId="13" borderId="4" applyAlignment="1" pivotButton="0" quotePrefix="0" xfId="0">
      <alignment horizontal="center"/>
    </xf>
    <xf numFmtId="0" fontId="11" fillId="13" borderId="0" applyAlignment="1" pivotButton="0" quotePrefix="0" xfId="0">
      <alignment horizontal="center"/>
    </xf>
    <xf numFmtId="0" fontId="6" fillId="12" borderId="3" applyAlignment="1" pivotButton="0" quotePrefix="0" xfId="0">
      <alignment horizontal="center"/>
    </xf>
    <xf numFmtId="0" fontId="6" fillId="12" borderId="1" applyAlignment="1" pivotButton="0" quotePrefix="0" xfId="0">
      <alignment horizontal="center"/>
    </xf>
    <xf numFmtId="0" fontId="8" fillId="13" borderId="5" applyAlignment="1" pivotButton="0" quotePrefix="0" xfId="0">
      <alignment horizontal="center"/>
    </xf>
    <xf numFmtId="0" fontId="8" fillId="13" borderId="2" applyAlignment="1" pivotButton="0" quotePrefix="0" xfId="0">
      <alignment horizontal="center"/>
    </xf>
    <xf numFmtId="0" fontId="6" fillId="12" borderId="6" applyAlignment="1" pivotButton="0" quotePrefix="0" xfId="0">
      <alignment horizontal="center"/>
    </xf>
    <xf numFmtId="0" fontId="11" fillId="13" borderId="7" applyAlignment="1" pivotButton="0" quotePrefix="0" xfId="0">
      <alignment horizontal="center"/>
    </xf>
    <xf numFmtId="0" fontId="8" fillId="13" borderId="8" applyAlignment="1" pivotButton="0" quotePrefix="0" xfId="0">
      <alignment horizontal="center"/>
    </xf>
    <xf numFmtId="0" fontId="12" fillId="15" borderId="0" applyAlignment="1" pivotButton="0" quotePrefix="0" xfId="0">
      <alignment horizontal="center"/>
    </xf>
    <xf numFmtId="0" fontId="6" fillId="14" borderId="1" applyAlignment="1" pivotButton="0" quotePrefix="0" xfId="0">
      <alignment horizontal="center"/>
    </xf>
    <xf numFmtId="0" fontId="8" fillId="15" borderId="2" applyAlignment="1" pivotButton="0" quotePrefix="0" xfId="0">
      <alignment horizontal="center"/>
    </xf>
    <xf numFmtId="0" fontId="6" fillId="14" borderId="3" applyAlignment="1" pivotButton="0" quotePrefix="0" xfId="0">
      <alignment horizontal="center"/>
    </xf>
    <xf numFmtId="0" fontId="12" fillId="15" borderId="4" applyAlignment="1" pivotButton="0" quotePrefix="0" xfId="0">
      <alignment horizontal="center"/>
    </xf>
    <xf numFmtId="0" fontId="8" fillId="15" borderId="5" applyAlignment="1" pivotButton="0" quotePrefix="0" xfId="0">
      <alignment horizontal="center"/>
    </xf>
    <xf numFmtId="0" fontId="13" fillId="17" borderId="4" applyAlignment="1" pivotButton="0" quotePrefix="0" xfId="0">
      <alignment horizontal="center"/>
    </xf>
    <xf numFmtId="0" fontId="13" fillId="17" borderId="0" applyAlignment="1" pivotButton="0" quotePrefix="0" xfId="0">
      <alignment horizontal="center"/>
    </xf>
    <xf numFmtId="0" fontId="6" fillId="16" borderId="3" applyAlignment="1" pivotButton="0" quotePrefix="0" xfId="0">
      <alignment horizontal="center"/>
    </xf>
    <xf numFmtId="0" fontId="6" fillId="16" borderId="1" applyAlignment="1" pivotButton="0" quotePrefix="0" xfId="0">
      <alignment horizontal="center"/>
    </xf>
    <xf numFmtId="0" fontId="8" fillId="17" borderId="5" applyAlignment="1" pivotButton="0" quotePrefix="0" xfId="0">
      <alignment horizontal="center"/>
    </xf>
    <xf numFmtId="0" fontId="8" fillId="17" borderId="2" applyAlignment="1" pivotButton="0" quotePrefix="0" xfId="0">
      <alignment horizontal="center"/>
    </xf>
    <xf numFmtId="0" fontId="14" fillId="9" borderId="4" applyAlignment="1" pivotButton="0" quotePrefix="0" xfId="0">
      <alignment horizontal="center"/>
    </xf>
    <xf numFmtId="0" fontId="14" fillId="9" borderId="0" applyAlignment="1" pivotButton="0" quotePrefix="0" xfId="0">
      <alignment horizontal="center"/>
    </xf>
    <xf numFmtId="0" fontId="6" fillId="18" borderId="3" applyAlignment="1" pivotButton="0" quotePrefix="0" xfId="0">
      <alignment horizontal="center"/>
    </xf>
    <xf numFmtId="0" fontId="6" fillId="18" borderId="1" applyAlignment="1" pivotButton="0" quotePrefix="0" xfId="0">
      <alignment horizontal="center"/>
    </xf>
    <xf numFmtId="0" fontId="15" fillId="20" borderId="4" applyAlignment="1" pivotButton="0" quotePrefix="0" xfId="0">
      <alignment horizontal="center"/>
    </xf>
    <xf numFmtId="0" fontId="15" fillId="20" borderId="0" applyAlignment="1" pivotButton="0" quotePrefix="0" xfId="0">
      <alignment horizontal="center"/>
    </xf>
    <xf numFmtId="0" fontId="6" fillId="19" borderId="3" applyAlignment="1" pivotButton="0" quotePrefix="0" xfId="0">
      <alignment horizontal="center"/>
    </xf>
    <xf numFmtId="0" fontId="6" fillId="19" borderId="1" applyAlignment="1" pivotButton="0" quotePrefix="0" xfId="0">
      <alignment horizontal="center"/>
    </xf>
    <xf numFmtId="0" fontId="8" fillId="20" borderId="5" applyAlignment="1" pivotButton="0" quotePrefix="0" xfId="0">
      <alignment horizontal="center"/>
    </xf>
    <xf numFmtId="0" fontId="8" fillId="20" borderId="2" applyAlignment="1" pivotButton="0" quotePrefix="0" xfId="0">
      <alignment horizontal="center"/>
    </xf>
    <xf numFmtId="0" fontId="6" fillId="19" borderId="6" applyAlignment="1" pivotButton="0" quotePrefix="0" xfId="0">
      <alignment horizontal="center"/>
    </xf>
    <xf numFmtId="0" fontId="15" fillId="20" borderId="7" applyAlignment="1" pivotButton="0" quotePrefix="0" xfId="0">
      <alignment horizontal="center"/>
    </xf>
    <xf numFmtId="0" fontId="8" fillId="20" borderId="8" applyAlignment="1" pivotButton="0" quotePrefix="0" xfId="0">
      <alignment horizontal="center"/>
    </xf>
    <xf numFmtId="0" fontId="16" fillId="4" borderId="0" applyAlignment="1" pivotButton="0" quotePrefix="0" xfId="0">
      <alignment horizontal="center"/>
    </xf>
    <xf numFmtId="0" fontId="6" fillId="21" borderId="1" applyAlignment="1" pivotButton="0" quotePrefix="0" xfId="0">
      <alignment horizontal="center"/>
    </xf>
    <xf numFmtId="0" fontId="8" fillId="4" borderId="2" applyAlignment="1" pivotButton="0" quotePrefix="0" xfId="0">
      <alignment horizontal="center"/>
    </xf>
    <xf numFmtId="0" fontId="6" fillId="21" borderId="3" applyAlignment="1" pivotButton="0" quotePrefix="0" xfId="0">
      <alignment horizontal="center"/>
    </xf>
    <xf numFmtId="0" fontId="16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17" fillId="23" borderId="4" applyAlignment="1" pivotButton="0" quotePrefix="0" xfId="0">
      <alignment horizontal="center"/>
    </xf>
    <xf numFmtId="0" fontId="17" fillId="23" borderId="0" applyAlignment="1" pivotButton="0" quotePrefix="0" xfId="0">
      <alignment horizontal="center"/>
    </xf>
    <xf numFmtId="0" fontId="6" fillId="22" borderId="3" applyAlignment="1" pivotButton="0" quotePrefix="0" xfId="0">
      <alignment horizontal="center"/>
    </xf>
    <xf numFmtId="0" fontId="6" fillId="22" borderId="1" applyAlignment="1" pivotButton="0" quotePrefix="0" xfId="0">
      <alignment horizontal="center"/>
    </xf>
    <xf numFmtId="0" fontId="8" fillId="23" borderId="5" applyAlignment="1" pivotButton="0" quotePrefix="0" xfId="0">
      <alignment horizontal="center"/>
    </xf>
    <xf numFmtId="0" fontId="8" fillId="23" borderId="2" applyAlignment="1" pivotButton="0" quotePrefix="0" xfId="0">
      <alignment horizontal="center"/>
    </xf>
    <xf numFmtId="0" fontId="18" fillId="24" borderId="4" applyAlignment="1" pivotButton="0" quotePrefix="0" xfId="0">
      <alignment horizontal="center"/>
    </xf>
    <xf numFmtId="0" fontId="18" fillId="24" borderId="0" applyAlignment="1" pivotButton="0" quotePrefix="0" xfId="0">
      <alignment horizontal="center"/>
    </xf>
    <xf numFmtId="0" fontId="6" fillId="3" borderId="3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8" fillId="24" borderId="5" applyAlignment="1" pivotButton="0" quotePrefix="0" xfId="0">
      <alignment horizontal="center"/>
    </xf>
    <xf numFmtId="0" fontId="8" fillId="24" borderId="2" applyAlignment="1" pivotButton="0" quotePrefix="0" xfId="0">
      <alignment horizontal="center"/>
    </xf>
    <xf numFmtId="0" fontId="19" fillId="26" borderId="4" applyAlignment="1" pivotButton="0" quotePrefix="0" xfId="0">
      <alignment horizontal="center"/>
    </xf>
    <xf numFmtId="0" fontId="19" fillId="26" borderId="0" applyAlignment="1" pivotButton="0" quotePrefix="0" xfId="0">
      <alignment horizontal="center"/>
    </xf>
    <xf numFmtId="0" fontId="6" fillId="25" borderId="3" applyAlignment="1" pivotButton="0" quotePrefix="0" xfId="0">
      <alignment horizontal="center"/>
    </xf>
    <xf numFmtId="0" fontId="6" fillId="25" borderId="1" applyAlignment="1" pivotButton="0" quotePrefix="0" xfId="0">
      <alignment horizontal="center"/>
    </xf>
    <xf numFmtId="0" fontId="8" fillId="26" borderId="5" applyAlignment="1" pivotButton="0" quotePrefix="0" xfId="0">
      <alignment horizontal="center"/>
    </xf>
    <xf numFmtId="0" fontId="8" fillId="26" borderId="2" applyAlignment="1" pivotButton="0" quotePrefix="0" xfId="0">
      <alignment horizontal="center"/>
    </xf>
    <xf numFmtId="0" fontId="6" fillId="25" borderId="6" applyAlignment="1" pivotButton="0" quotePrefix="0" xfId="0">
      <alignment horizontal="center"/>
    </xf>
    <xf numFmtId="0" fontId="19" fillId="26" borderId="7" applyAlignment="1" pivotButton="0" quotePrefix="0" xfId="0">
      <alignment horizontal="center"/>
    </xf>
    <xf numFmtId="0" fontId="8" fillId="26" borderId="8" applyAlignment="1" pivotButton="0" quotePrefix="0" xfId="0">
      <alignment horizontal="center"/>
    </xf>
    <xf numFmtId="0" fontId="20" fillId="28" borderId="9" applyAlignment="1" pivotButton="0" quotePrefix="0" xfId="0">
      <alignment horizontal="center"/>
    </xf>
    <xf numFmtId="0" fontId="20" fillId="28" borderId="10" applyAlignment="1" pivotButton="0" quotePrefix="0" xfId="0">
      <alignment horizontal="center"/>
    </xf>
    <xf numFmtId="0" fontId="20" fillId="28" borderId="11" applyAlignment="1" pivotButton="0" quotePrefix="0" xfId="0">
      <alignment horizontal="center"/>
    </xf>
    <xf numFmtId="0" fontId="0" fillId="4" borderId="12" applyAlignment="1" pivotButton="0" quotePrefix="0" xfId="0">
      <alignment horizontal="left"/>
    </xf>
    <xf numFmtId="0" fontId="4" fillId="4" borderId="13" applyAlignment="1" pivotButton="0" quotePrefix="0" xfId="0">
      <alignment horizontal="center"/>
    </xf>
    <xf numFmtId="0" fontId="0" fillId="4" borderId="13" applyAlignment="1" pivotButton="0" quotePrefix="0" xfId="0">
      <alignment horizontal="center"/>
    </xf>
    <xf numFmtId="0" fontId="0" fillId="4" borderId="14" applyAlignment="1" pivotButton="0" quotePrefix="0" xfId="0">
      <alignment horizontal="center"/>
    </xf>
    <xf numFmtId="0" fontId="0" fillId="29" borderId="12" applyAlignment="1" pivotButton="0" quotePrefix="0" xfId="0">
      <alignment horizontal="left"/>
    </xf>
    <xf numFmtId="0" fontId="4" fillId="29" borderId="13" applyAlignment="1" pivotButton="0" quotePrefix="0" xfId="0">
      <alignment horizontal="center"/>
    </xf>
    <xf numFmtId="0" fontId="0" fillId="29" borderId="13" applyAlignment="1" pivotButton="0" quotePrefix="0" xfId="0">
      <alignment horizontal="center"/>
    </xf>
    <xf numFmtId="0" fontId="0" fillId="29" borderId="14" applyAlignment="1" pivotButton="0" quotePrefix="0" xfId="0">
      <alignment horizontal="center"/>
    </xf>
    <xf numFmtId="0" fontId="0" fillId="4" borderId="15" applyAlignment="1" pivotButton="0" quotePrefix="0" xfId="0">
      <alignment horizontal="left"/>
    </xf>
    <xf numFmtId="0" fontId="4" fillId="4" borderId="16" applyAlignment="1" pivotButton="0" quotePrefix="0" xfId="0">
      <alignment horizontal="center"/>
    </xf>
    <xf numFmtId="0" fontId="0" fillId="4" borderId="16" applyAlignment="1" pivotButton="0" quotePrefix="0" xfId="0">
      <alignment horizontal="center"/>
    </xf>
    <xf numFmtId="0" fontId="0" fillId="4" borderId="17" applyAlignment="1" pivotButton="0" quotePrefix="0" xfId="0">
      <alignment horizontal="center"/>
    </xf>
    <xf numFmtId="0" fontId="21" fillId="29" borderId="0" applyAlignment="1" pivotButton="0" quotePrefix="0" xfId="0">
      <alignment horizontal="center"/>
    </xf>
    <xf numFmtId="14" fontId="0" fillId="0" borderId="0" pivotButton="0" quotePrefix="0" xfId="0"/>
    <xf numFmtId="20" fontId="0" fillId="0" borderId="0" pivotButton="0" quotePrefix="0" xfId="0"/>
    <xf numFmtId="9" fontId="0" fillId="0" borderId="0" pivotButton="0" quotePrefix="0" xfId="0"/>
    <xf numFmtId="0" fontId="20" fillId="21" borderId="0" applyAlignment="1" pivotButton="0" quotePrefix="0" xfId="0">
      <alignment horizontal="center"/>
    </xf>
    <xf numFmtId="164" fontId="20" fillId="21" borderId="0" applyAlignment="1" pivotButton="0" quotePrefix="0" xfId="0">
      <alignment horizontal="center"/>
    </xf>
    <xf numFmtId="164" fontId="0" fillId="0" borderId="0" pivotButton="0" quotePrefix="0" xfId="0"/>
    <xf numFmtId="165" fontId="20" fillId="21" borderId="0" applyAlignment="1" pivotButton="0" quotePrefix="0" xfId="0">
      <alignment horizontal="center"/>
    </xf>
    <xf numFmtId="165" fontId="0" fillId="0" borderId="0" pivotButton="0" quotePrefix="0" xfId="0"/>
    <xf numFmtId="9" fontId="20" fillId="21" borderId="0" applyAlignment="1" pivotButton="0" quotePrefix="0" xfId="0">
      <alignment horizontal="center"/>
    </xf>
    <xf numFmtId="0" fontId="0" fillId="0" borderId="1" pivotButton="0" quotePrefix="0" xfId="0"/>
    <xf numFmtId="0" fontId="6" fillId="12" borderId="18" applyAlignment="1" pivotButton="0" quotePrefix="0" xfId="0">
      <alignment horizontal="center"/>
    </xf>
    <xf numFmtId="0" fontId="0" fillId="0" borderId="6" pivotButton="0" quotePrefix="0" xfId="0"/>
    <xf numFmtId="0" fontId="11" fillId="13" borderId="19" applyAlignment="1" pivotButton="0" quotePrefix="0" xfId="0">
      <alignment horizontal="center"/>
    </xf>
    <xf numFmtId="0" fontId="0" fillId="0" borderId="7" pivotButton="0" quotePrefix="0" xfId="0"/>
    <xf numFmtId="0" fontId="0" fillId="0" borderId="2" pivotButton="0" quotePrefix="0" xfId="0"/>
    <xf numFmtId="0" fontId="8" fillId="13" borderId="20" applyAlignment="1" pivotButton="0" quotePrefix="0" xfId="0">
      <alignment horizontal="center"/>
    </xf>
    <xf numFmtId="0" fontId="0" fillId="0" borderId="8" pivotButton="0" quotePrefix="0" xfId="0"/>
    <xf numFmtId="0" fontId="6" fillId="19" borderId="18" applyAlignment="1" pivotButton="0" quotePrefix="0" xfId="0">
      <alignment horizontal="center"/>
    </xf>
    <xf numFmtId="0" fontId="15" fillId="20" borderId="19" applyAlignment="1" pivotButton="0" quotePrefix="0" xfId="0">
      <alignment horizontal="center"/>
    </xf>
    <xf numFmtId="0" fontId="8" fillId="20" borderId="20" applyAlignment="1" pivotButton="0" quotePrefix="0" xfId="0">
      <alignment horizontal="center"/>
    </xf>
    <xf numFmtId="0" fontId="6" fillId="25" borderId="18" applyAlignment="1" pivotButton="0" quotePrefix="0" xfId="0">
      <alignment horizontal="center"/>
    </xf>
    <xf numFmtId="0" fontId="19" fillId="26" borderId="19" applyAlignment="1" pivotButton="0" quotePrefix="0" xfId="0">
      <alignment horizontal="center"/>
    </xf>
    <xf numFmtId="0" fontId="8" fillId="26" borderId="20" applyAlignment="1" pivotButton="0" quotePrefix="0" xfId="0">
      <alignment horizontal="center"/>
    </xf>
    <xf numFmtId="21" fontId="0" fillId="0" borderId="0" pivotButton="0" quotePrefix="0" xfId="0"/>
  </cellXfs>
  <cellStyles count="1">
    <cellStyle name="Normal" xfId="0" builtinId="0"/>
  </cellStyles>
  <dxfs count="5">
    <dxf>
      <numFmt numFmtId="13" formatCode="0%"/>
    </dxf>
    <dxf>
      <numFmt numFmtId="165" formatCode="hh:mm"/>
    </dxf>
    <dxf>
      <numFmt numFmtId="165" formatCode="hh:mm"/>
    </dxf>
    <dxf>
      <numFmt numFmtId="164" formatCode="dd\-mm\-yyyy"/>
    </dxf>
    <dxf>
      <font>
        <b val="1"/>
        <color rgb="FFFFFFFF"/>
      </font>
      <fill>
        <patternFill patternType="solid">
          <fgColor indexed="64"/>
          <bgColor rgb="FF2F5496"/>
        </patternFill>
      </fill>
      <alignment horizontal="center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Bloqueos_Activos" displayName="Bloqueos_Activos" ref="A1:J11" headerRowCount="1">
  <autoFilter ref="A1:J11"/>
  <tableColumns count="10">
    <tableColumn id="2" name="Fecha"/>
    <tableColumn id="3" name="Hora"/>
    <tableColumn id="4" name="Área"/>
    <tableColumn id="5" name="Equipo"/>
    <tableColumn id="6" name="Tipo bloqueo"/>
    <tableColumn id="7" name="Motivo"/>
    <tableColumn id="8" name="Responsable"/>
    <tableColumn id="9" name="Estado"/>
    <tableColumn id="10" name="Hora liberación"/>
    <tableColumn id="11" name="Ob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ART" displayName="ART" ref="A1:N2" headerRowCount="1">
  <autoFilter ref="A1:N2"/>
  <tableColumns count="14">
    <tableColumn id="1" name="Fecha"/>
    <tableColumn id="2" name="Turno"/>
    <tableColumn id="3" name="Faena"/>
    <tableColumn id="4" name="Actividad"/>
    <tableColumn id="5" name="Sector"/>
    <tableColumn id="6" name="Responsable"/>
    <tableColumn id="7" name="Personal"/>
    <tableColumn id="8" name="Riesgos"/>
    <tableColumn id="9" name="Consecuencias"/>
    <tableColumn id="10" name="Medidas"/>
    <tableColumn id="11" name="EPP"/>
    <tableColumn id="12" name="Verificación"/>
    <tableColumn id="13" name="Obs"/>
    <tableColumn id="14" name="Estad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Checklist_Moviles" displayName="Checklist_Moviles" ref="A1:U2" headerRowCount="1">
  <autoFilter ref="A1:U2"/>
  <tableColumns count="21">
    <tableColumn id="1" name="Fecha"/>
    <tableColumn id="2" name="Turno"/>
    <tableColumn id="3" name="Equipo"/>
    <tableColumn id="4" name="Código"/>
    <tableColumn id="5" name="Horómetro"/>
    <tableColumn id="6" name="Combustible"/>
    <tableColumn id="7" name="Aceite motor"/>
    <tableColumn id="8" name="Aceite hidráulico"/>
    <tableColumn id="9" name="Refrigerante"/>
    <tableColumn id="10" name="Luces"/>
    <tableColumn id="11" name="Alarma"/>
    <tableColumn id="12" name="Neumáticos"/>
    <tableColumn id="13" name="Fugas"/>
    <tableColumn id="14" name="Cabina"/>
    <tableColumn id="15" name="Frenos"/>
    <tableColumn id="16" name="Extintor"/>
    <tableColumn id="17" name="Observación"/>
    <tableColumn id="18" name="Estado final"/>
    <tableColumn id="19" name="Responsable"/>
    <tableColumn id="20" name="Aviso SAP"/>
    <tableColumn id="21" name="Link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Checklist_Fijos" displayName="Checklist_Fijos" ref="A1:U2" headerRowCount="1">
  <autoFilter ref="A1:U2"/>
  <tableColumns count="21">
    <tableColumn id="1" name="Fecha"/>
    <tableColumn id="2" name="Turno"/>
    <tableColumn id="3" name="Área"/>
    <tableColumn id="4" name="Equipo"/>
    <tableColumn id="5" name="Código"/>
    <tableColumn id="6" name="Estructura"/>
    <tableColumn id="7" name="Motor"/>
    <tableColumn id="8" name="Guardas"/>
    <tableColumn id="9" name="Sensores"/>
    <tableColumn id="10" name="Polines"/>
    <tableColumn id="11" name="Correas"/>
    <tableColumn id="12" name="Chutes"/>
    <tableColumn id="13" name="Tolvas"/>
    <tableColumn id="14" name="Alimentadores"/>
    <tableColumn id="15" name="Captadores"/>
    <tableColumn id="16" name="Nebulizador"/>
    <tableColumn id="17" name="Obs"/>
    <tableColumn id="18" name="Estado final"/>
    <tableColumn id="19" name="Responsable"/>
    <tableColumn id="20" name="Aviso SAP"/>
    <tableColumn id="21" name="Link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PTS" displayName="PTS" ref="A1:L2" headerRowCount="1">
  <autoFilter ref="A1:L2"/>
  <tableColumns count="12">
    <tableColumn id="1" name="Fecha"/>
    <tableColumn id="2" name="Área"/>
    <tableColumn id="3" name="Procedimiento"/>
    <tableColumn id="4" name="Código"/>
    <tableColumn id="5" name="Actividad"/>
    <tableColumn id="6" name="Vigente"/>
    <tableColumn id="7" name="Personal instruido"/>
    <tableColumn id="8" name="Responsable"/>
    <tableColumn id="9" name="Obs"/>
    <tableColumn id="10" name="Acción"/>
    <tableColumn id="11" name="Estado"/>
    <tableColumn id="12" name="Próx revisió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Anomalías" displayName="Anomalías" ref="A1:P2" headerRowCount="1">
  <autoFilter ref="A1:P2"/>
  <tableColumns count="16">
    <tableColumn id="1" name="ID"/>
    <tableColumn id="2" name="Fecha"/>
    <tableColumn id="3" name="Hora"/>
    <tableColumn id="4" name="Área"/>
    <tableColumn id="5" name="Equipo"/>
    <tableColumn id="6" name="Tipo"/>
    <tableColumn id="7" name="Descripción"/>
    <tableColumn id="8" name="Riesgo"/>
    <tableColumn id="9" name="Acción"/>
    <tableColumn id="10" name="Responsable"/>
    <tableColumn id="11" name="Estado"/>
    <tableColumn id="12" name="Prioridad"/>
    <tableColumn id="13" name="Aviso SAP"/>
    <tableColumn id="14" name="N° SAP"/>
    <tableColumn id="15" name="Evidencia"/>
    <tableColumn id="16" name="Cierr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Avisos_SAP" displayName="Avisos_SAP" ref="A1:N2" headerRowCount="1">
  <autoFilter ref="A1:N2"/>
  <tableColumns count="14">
    <tableColumn id="1" name="Fecha"/>
    <tableColumn id="2" name="Hora"/>
    <tableColumn id="3" name="Equipo"/>
    <tableColumn id="4" name="Código"/>
    <tableColumn id="5" name="Descripción"/>
    <tableColumn id="6" name="Tipo falla"/>
    <tableColumn id="7" name="Prioridad"/>
    <tableColumn id="8" name="Aviso SAP"/>
    <tableColumn id="9" name="Generado por"/>
    <tableColumn id="10" name="Estado"/>
    <tableColumn id="11" name="Acción"/>
    <tableColumn id="12" name="Responsable"/>
    <tableColumn id="13" name="Cierre"/>
    <tableColumn id="14" name="Comentario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Bitácora_Turno" displayName="Bitácora_Turno" ref="A1:H2" headerRowCount="1">
  <autoFilter ref="A1:H2"/>
  <tableColumns count="8">
    <tableColumn id="1" name="Hora"/>
    <tableColumn id="2" name="Evento"/>
    <tableColumn id="3" name="Área"/>
    <tableColumn id="4" name="Impacto"/>
    <tableColumn id="5" name="Acción"/>
    <tableColumn id="6" name="Informado"/>
    <tableColumn id="7" name="Estado"/>
    <tableColumn id="8" name="Ob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Entrega_Turno" displayName="Entrega_Turno" ref="A1:N2" headerRowCount="1">
  <autoFilter ref="A1:N2"/>
  <tableColumns count="14">
    <tableColumn id="1" name="Fecha"/>
    <tableColumn id="2" name="Turno saliente"/>
    <tableColumn id="3" name="Turno entrante"/>
    <tableColumn id="4" name="Jefe saliente"/>
    <tableColumn id="5" name="Jefe entrante"/>
    <tableColumn id="6" name="Estado operación"/>
    <tableColumn id="7" name="Equipos OK"/>
    <tableColumn id="8" name="Equipos falla"/>
    <tableColumn id="9" name="Bloqueos"/>
    <tableColumn id="10" name="Avisos SAP"/>
    <tableColumn id="11" name="Riesgos"/>
    <tableColumn id="12" name="Pendientes"/>
    <tableColumn id="13" name="Recomendaciones"/>
    <tableColumn id="14" name="Fir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Asignacion_VHF" displayName="Asignacion_VHF" ref="A1:M2" headerRowCount="1" totalsRowShown="0" headerRowDxfId="4">
  <autoFilter ref="A1:M2"/>
  <tableColumns count="13">
    <tableColumn id="1" name="Fecha" dataDxfId="3"/>
    <tableColumn id="2" name="Turno"/>
    <tableColumn id="3" name="Canal"/>
    <tableColumn id="4" name="Código VHF"/>
    <tableColumn id="5" name="Área"/>
    <tableColumn id="6" name="Asignado a"/>
    <tableColumn id="7" name="Cargo"/>
    <tableColumn id="8" name="Hora Entrega" dataDxfId="2"/>
    <tableColumn id="9" name="Hora Devolución" dataDxfId="1"/>
    <tableColumn id="10" name="Estado Equipo"/>
    <tableColumn id="11" name="Batería" dataDxfId="0"/>
    <tableColumn id="12" name="Observaciones"/>
    <tableColumn id="13" name="Responsable Entreg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topLeftCell="A2" workbookViewId="0">
      <selection activeCell="A8" sqref="A8:C8"/>
    </sheetView>
  </sheetViews>
  <sheetFormatPr baseColWidth="10" defaultRowHeight="14.4"/>
  <cols>
    <col width="15.77734375" customWidth="1" min="1" max="4"/>
    <col width="2.77734375" customWidth="1" min="5" max="5"/>
    <col width="15.77734375" customWidth="1" min="6" max="12"/>
  </cols>
  <sheetData>
    <row r="1" ht="30" customHeight="1">
      <c r="A1" s="3" t="inlineStr">
        <is>
          <t>📋 PANEL DE REGISTROS - GESTIÓN JEFE DE TURNO</t>
        </is>
      </c>
    </row>
    <row r="2" ht="30" customHeight="1"/>
    <row r="3" ht="25.05" customHeight="1">
      <c r="A3" s="4" t="inlineStr">
        <is>
          <t>Sistema de Control y Seguimiento Operacional</t>
        </is>
      </c>
    </row>
    <row r="5" ht="30" customHeight="1">
      <c r="A5" s="5" t="inlineStr">
        <is>
          <t>🔗 NAVEGACIÓN RÁPIDA - Haz clic en cualquier módulo</t>
        </is>
      </c>
    </row>
    <row r="6" ht="15" customHeight="1" thickBot="1"/>
    <row r="7" ht="28.05" customHeight="1" thickTop="1">
      <c r="A7" s="10" t="inlineStr">
        <is>
          <t>🔒 BLOQUEOS ACTIVOS</t>
        </is>
      </c>
      <c r="B7" s="111" t="n"/>
      <c r="C7" s="111" t="n"/>
      <c r="D7" s="15" t="inlineStr">
        <is>
          <t>⚠️ ANOMALÍAS</t>
        </is>
      </c>
      <c r="E7" s="111" t="n"/>
      <c r="F7" s="111" t="n"/>
      <c r="G7" s="21" t="inlineStr">
        <is>
          <t>📝 AVISOS SAP</t>
        </is>
      </c>
      <c r="H7" s="111" t="n"/>
      <c r="I7" s="111" t="n"/>
      <c r="J7" s="112" t="inlineStr">
        <is>
          <t>📓 BITÁCORA TURNO</t>
        </is>
      </c>
      <c r="K7" s="111" t="n"/>
      <c r="L7" s="113" t="n"/>
    </row>
    <row r="8" ht="45" customHeight="1">
      <c r="A8" s="11">
        <f>COUNTIF(Bloqueos_Activos[Estado],"Activo")</f>
        <v/>
      </c>
      <c r="D8" s="13">
        <f>ROWS(Anomalías[ID])-COUNTIF(Anomalías[Estado],"Cerrada")</f>
        <v/>
      </c>
      <c r="G8" s="19">
        <f>COUNTIF(Avisos_SAP[Estado],"Abierto")</f>
        <v/>
      </c>
      <c r="J8" s="114">
        <f>ROWS(Bitácora_Turno[Hora])</f>
        <v/>
      </c>
      <c r="L8" s="115" t="n"/>
    </row>
    <row r="9" ht="22.05" customHeight="1" thickBot="1">
      <c r="A9" s="12" t="inlineStr">
        <is>
          <t>▶ Ir a Bloqueos</t>
        </is>
      </c>
      <c r="B9" s="116" t="n"/>
      <c r="C9" s="116" t="n"/>
      <c r="D9" s="17" t="inlineStr">
        <is>
          <t>▶ Ir a Anomalías</t>
        </is>
      </c>
      <c r="E9" s="116" t="n"/>
      <c r="F9" s="116" t="n"/>
      <c r="G9" s="23" t="inlineStr">
        <is>
          <t>▶ Ir a Avisos SAP</t>
        </is>
      </c>
      <c r="H9" s="116" t="n"/>
      <c r="I9" s="116" t="n"/>
      <c r="J9" s="117" t="inlineStr">
        <is>
          <t>▶ Ir a Bitácora</t>
        </is>
      </c>
      <c r="K9" s="116" t="n"/>
      <c r="L9" s="118" t="n"/>
    </row>
    <row r="10" ht="10.05" customHeight="1" thickBot="1" thickTop="1"/>
    <row r="11" ht="28.05" customHeight="1" thickTop="1">
      <c r="A11" s="37" t="inlineStr">
        <is>
          <t>🚜 CHECKLIST MÓVILES</t>
        </is>
      </c>
      <c r="B11" s="111" t="n"/>
      <c r="C11" s="111" t="n"/>
      <c r="D11" s="42" t="inlineStr">
        <is>
          <t>⚙️ CHECKLIST FIJOS</t>
        </is>
      </c>
      <c r="E11" s="111" t="n"/>
      <c r="F11" s="111" t="n"/>
      <c r="G11" s="48" t="inlineStr">
        <is>
          <t>📋 ART</t>
        </is>
      </c>
      <c r="H11" s="111" t="n"/>
      <c r="I11" s="111" t="n"/>
      <c r="J11" s="119" t="inlineStr">
        <is>
          <t>📑 PTS</t>
        </is>
      </c>
      <c r="K11" s="111" t="n"/>
      <c r="L11" s="113" t="n"/>
    </row>
    <row r="12" ht="45" customHeight="1">
      <c r="A12" s="38">
        <f>ROWS(Checklist_Moviles[Fecha])</f>
        <v/>
      </c>
      <c r="D12" s="40">
        <f>ROWS(Checklist_Fijos[Fecha])</f>
        <v/>
      </c>
      <c r="G12" s="46">
        <f>ROWS(ART[Fecha])</f>
        <v/>
      </c>
      <c r="J12" s="120">
        <f>ROWS(PTS[Fecha])</f>
        <v/>
      </c>
      <c r="L12" s="115" t="n"/>
    </row>
    <row r="13" ht="22.05" customHeight="1" thickBot="1">
      <c r="A13" s="39" t="inlineStr">
        <is>
          <t>▶ Ir a Checklist Móviles</t>
        </is>
      </c>
      <c r="B13" s="116" t="n"/>
      <c r="C13" s="116" t="n"/>
      <c r="D13" s="44" t="inlineStr">
        <is>
          <t>▶ Ir a Checklist Fijos</t>
        </is>
      </c>
      <c r="E13" s="116" t="n"/>
      <c r="F13" s="116" t="n"/>
      <c r="G13" s="17" t="inlineStr">
        <is>
          <t>▶ Ir a ART</t>
        </is>
      </c>
      <c r="H13" s="116" t="n"/>
      <c r="I13" s="116" t="n"/>
      <c r="J13" s="121" t="inlineStr">
        <is>
          <t>▶ Ir a PTS</t>
        </is>
      </c>
      <c r="K13" s="116" t="n"/>
      <c r="L13" s="118" t="n"/>
    </row>
    <row r="14" ht="10.05" customHeight="1" thickBot="1" thickTop="1"/>
    <row r="15" ht="28.05" customHeight="1" thickTop="1">
      <c r="A15" s="62" t="inlineStr">
        <is>
          <t>🔄 ENTREGA TURNO</t>
        </is>
      </c>
      <c r="B15" s="111" t="n"/>
      <c r="C15" s="111" t="n"/>
      <c r="D15" s="67" t="inlineStr">
        <is>
          <t>📻 VHF ASIGNACIÓN</t>
        </is>
      </c>
      <c r="E15" s="111" t="n"/>
      <c r="F15" s="111" t="n"/>
      <c r="G15" s="73" t="inlineStr">
        <is>
          <t>📊 PANEL GESTIÓN</t>
        </is>
      </c>
      <c r="H15" s="111" t="n"/>
      <c r="I15" s="111" t="n"/>
      <c r="J15" s="122" t="inlineStr">
        <is>
          <t>⚙️ CONFIG. LISTAS</t>
        </is>
      </c>
      <c r="K15" s="111" t="n"/>
      <c r="L15" s="113" t="n"/>
    </row>
    <row r="16" ht="45" customHeight="1">
      <c r="A16" s="63">
        <f>ROWS(Entrega_Turno[Fecha])</f>
        <v/>
      </c>
      <c r="D16" s="65">
        <f>COUNTA(Asignacion_VHF[Fecha])</f>
        <v/>
      </c>
      <c r="G16" s="71" t="inlineStr">
        <is>
          <t>RESUMEN</t>
        </is>
      </c>
      <c r="J16" s="123" t="inlineStr">
        <is>
          <t>MAESTRO</t>
        </is>
      </c>
      <c r="L16" s="115" t="n"/>
    </row>
    <row r="17" ht="22.05" customHeight="1" thickBot="1">
      <c r="A17" s="64" t="inlineStr">
        <is>
          <t>▶ Ir a Entrega Turno</t>
        </is>
      </c>
      <c r="B17" s="116" t="n"/>
      <c r="C17" s="116" t="n"/>
      <c r="D17" s="69" t="inlineStr">
        <is>
          <t>▶ Ir a Asignación VHF</t>
        </is>
      </c>
      <c r="E17" s="116" t="n"/>
      <c r="F17" s="116" t="n"/>
      <c r="G17" s="75" t="inlineStr">
        <is>
          <t>▶ Ir a Panel Gestión</t>
        </is>
      </c>
      <c r="H17" s="116" t="n"/>
      <c r="I17" s="116" t="n"/>
      <c r="J17" s="124" t="inlineStr">
        <is>
          <t>▶ Ir a Maestro Listas</t>
        </is>
      </c>
      <c r="K17" s="116" t="n"/>
      <c r="L17" s="118" t="n"/>
    </row>
    <row r="18" ht="15" customHeight="1" thickTop="1"/>
    <row r="19" ht="15" customHeight="1"/>
    <row r="20" ht="30" customHeight="1">
      <c r="A20" s="6" t="inlineStr">
        <is>
          <t>📈 RESUMEN DE INDICADORES CLAVE</t>
        </is>
      </c>
    </row>
    <row r="21" ht="15" customHeight="1" thickBot="1"/>
    <row r="22" ht="25.05" customHeight="1" thickTop="1">
      <c r="A22" s="86" t="inlineStr">
        <is>
          <t>INDICADOR</t>
        </is>
      </c>
      <c r="B22" s="87" t="inlineStr">
        <is>
          <t>VALOR</t>
        </is>
      </c>
      <c r="C22" s="87" t="inlineStr">
        <is>
          <t>ESTADO</t>
        </is>
      </c>
      <c r="D22" s="88" t="inlineStr">
        <is>
          <t>TENDENCIA</t>
        </is>
      </c>
    </row>
    <row r="23" ht="22.05" customHeight="1">
      <c r="A23" s="89" t="inlineStr">
        <is>
          <t>Bloqueos Activos</t>
        </is>
      </c>
      <c r="B23" s="90">
        <f>COUNTIF(Bloqueos_Activos[Estado],"Activo")</f>
        <v/>
      </c>
      <c r="C23" s="91" t="inlineStr">
        <is>
          <t>⚠️ Revisar</t>
        </is>
      </c>
      <c r="D23" s="92" t="inlineStr">
        <is>
          <t>—</t>
        </is>
      </c>
    </row>
    <row r="24" ht="22.05" customHeight="1">
      <c r="A24" s="93" t="inlineStr">
        <is>
          <t>Anomalías Abiertas</t>
        </is>
      </c>
      <c r="B24" s="94">
        <f>ROWS(Anomalías[ID])-COUNTIF(Anomalías[Estado],"Cerrada")</f>
        <v/>
      </c>
      <c r="C24" s="95" t="inlineStr">
        <is>
          <t>✅ Normal</t>
        </is>
      </c>
      <c r="D24" s="96" t="inlineStr">
        <is>
          <t>—</t>
        </is>
      </c>
    </row>
    <row r="25" ht="22.05" customHeight="1">
      <c r="A25" s="93" t="inlineStr">
        <is>
          <t>Equipos Fuera Servicio</t>
        </is>
      </c>
      <c r="B25" s="90">
        <f>COUNTIF(Avisos_SAP[Estado],"Abierto")</f>
        <v/>
      </c>
      <c r="C25" s="91" t="inlineStr">
        <is>
          <t>⚠️ Revisar</t>
        </is>
      </c>
      <c r="D25" s="92" t="inlineStr">
        <is>
          <t>—</t>
        </is>
      </c>
    </row>
    <row r="26" ht="22.05" customHeight="1">
      <c r="B26" s="94">
        <f>COUNTIF(Checklist_Fijos[Estado final],"Fuera de servicio")+COUNTIF(Checklist_Moviles[Estado final],"Fuera de servicio")</f>
        <v/>
      </c>
      <c r="C26" s="95" t="inlineStr">
        <is>
          <t>✅ Normal</t>
        </is>
      </c>
      <c r="D26" s="96" t="inlineStr">
        <is>
          <t>—</t>
        </is>
      </c>
    </row>
    <row r="27" ht="22.05" customHeight="1" thickBot="1">
      <c r="A27" s="97" t="inlineStr">
        <is>
          <t>Total Registros</t>
        </is>
      </c>
      <c r="B27" s="98" t="n">
        <v>4</v>
      </c>
      <c r="C27" s="99" t="inlineStr">
        <is>
          <t>📊 Info</t>
        </is>
      </c>
      <c r="D27" s="100" t="inlineStr">
        <is>
          <t>📈</t>
        </is>
      </c>
    </row>
    <row r="28" ht="15" customHeight="1" thickTop="1"/>
    <row r="29" ht="15" customHeight="1"/>
    <row r="32" ht="30" customHeight="1"/>
    <row r="34" ht="28.05" customHeight="1"/>
    <row r="36" ht="15" customHeight="1"/>
    <row r="37" ht="25.05" customHeight="1">
      <c r="A37" s="101" t="inlineStr">
        <is>
          <t>💼 Sistema de Gestión Operacional - Jefe de Turno | Versión 1.0 | © 2026</t>
        </is>
      </c>
    </row>
  </sheetData>
  <mergeCells count="41">
    <mergeCell ref="D13:F13"/>
    <mergeCell ref="D11:F11"/>
    <mergeCell ref="G13:I13"/>
    <mergeCell ref="A37:L37"/>
    <mergeCell ref="D17:F17"/>
    <mergeCell ref="D7:F7"/>
    <mergeCell ref="A12:C12"/>
    <mergeCell ref="A3:L3"/>
    <mergeCell ref="D16:F16"/>
    <mergeCell ref="G15:I15"/>
    <mergeCell ref="J11:L11"/>
    <mergeCell ref="J7:L7"/>
    <mergeCell ref="J16:L16"/>
    <mergeCell ref="A8:C8"/>
    <mergeCell ref="A5:L5"/>
    <mergeCell ref="A1:L2"/>
    <mergeCell ref="A17:C17"/>
    <mergeCell ref="D12:F12"/>
    <mergeCell ref="D9:F9"/>
    <mergeCell ref="J12:L12"/>
    <mergeCell ref="D8:F8"/>
    <mergeCell ref="D15:F15"/>
    <mergeCell ref="A20:L20"/>
    <mergeCell ref="G16:I16"/>
    <mergeCell ref="A13:C13"/>
    <mergeCell ref="A9:C9"/>
    <mergeCell ref="G9:I9"/>
    <mergeCell ref="J8:L8"/>
    <mergeCell ref="G12:I12"/>
    <mergeCell ref="J17:L17"/>
    <mergeCell ref="A15:C15"/>
    <mergeCell ref="G11:I11"/>
    <mergeCell ref="A11:C11"/>
    <mergeCell ref="J13:L13"/>
    <mergeCell ref="G8:I8"/>
    <mergeCell ref="G17:I17"/>
    <mergeCell ref="J9:L9"/>
    <mergeCell ref="A7:C7"/>
    <mergeCell ref="G7:I7"/>
    <mergeCell ref="A16:C16"/>
    <mergeCell ref="J15:L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10" defaultColWidth="8.88671875" defaultRowHeight="14.4"/>
  <sheetData>
    <row r="1">
      <c r="A1" s="1" t="inlineStr">
        <is>
          <t>Estados</t>
        </is>
      </c>
      <c r="B1" s="1" t="inlineStr">
        <is>
          <t>Prioridades</t>
        </is>
      </c>
      <c r="C1" s="1" t="inlineStr">
        <is>
          <t>Tipos_Anomalia</t>
        </is>
      </c>
      <c r="D1" s="1" t="inlineStr">
        <is>
          <t>Turnos</t>
        </is>
      </c>
      <c r="E1" s="1" t="inlineStr">
        <is>
          <t>Estados_OK</t>
        </is>
      </c>
      <c r="F1" s="1" t="inlineStr">
        <is>
          <t>Impactos</t>
        </is>
      </c>
    </row>
    <row r="2">
      <c r="A2" t="inlineStr">
        <is>
          <t>Activo</t>
        </is>
      </c>
      <c r="B2" t="inlineStr">
        <is>
          <t>Alta</t>
        </is>
      </c>
      <c r="C2" t="inlineStr">
        <is>
          <t>Operacional</t>
        </is>
      </c>
      <c r="D2" t="inlineStr">
        <is>
          <t>Día</t>
        </is>
      </c>
      <c r="E2" t="inlineStr">
        <is>
          <t>OK</t>
        </is>
      </c>
      <c r="F2" t="inlineStr">
        <is>
          <t>Seguridad</t>
        </is>
      </c>
    </row>
    <row r="3">
      <c r="A3" t="inlineStr">
        <is>
          <t>Liberado</t>
        </is>
      </c>
      <c r="B3" t="inlineStr">
        <is>
          <t>Media</t>
        </is>
      </c>
      <c r="C3" t="inlineStr">
        <is>
          <t>Seguridad</t>
        </is>
      </c>
      <c r="D3" t="inlineStr">
        <is>
          <t>Noche</t>
        </is>
      </c>
      <c r="E3" t="inlineStr">
        <is>
          <t>NO OK</t>
        </is>
      </c>
      <c r="F3" t="inlineStr">
        <is>
          <t>Producción</t>
        </is>
      </c>
    </row>
    <row r="4">
      <c r="A4" t="inlineStr">
        <is>
          <t>Pendiente</t>
        </is>
      </c>
      <c r="B4" t="inlineStr">
        <is>
          <t>Baja</t>
        </is>
      </c>
      <c r="C4" t="inlineStr">
        <is>
          <t>Mantenimiento</t>
        </is>
      </c>
      <c r="E4" t="inlineStr">
        <is>
          <t>N/A</t>
        </is>
      </c>
      <c r="F4" t="inlineStr">
        <is>
          <t>Ambiente</t>
        </is>
      </c>
    </row>
    <row r="5">
      <c r="A5" t="inlineStr">
        <is>
          <t>Abierta</t>
        </is>
      </c>
      <c r="C5" t="inlineStr">
        <is>
          <t>Ambiental</t>
        </is>
      </c>
      <c r="F5" t="inlineStr">
        <is>
          <t>Mantención</t>
        </is>
      </c>
    </row>
    <row r="6">
      <c r="A6" t="inlineStr">
        <is>
          <t>En seguimiento</t>
        </is>
      </c>
      <c r="C6" t="inlineStr">
        <is>
          <t>Documental</t>
        </is>
      </c>
    </row>
    <row r="7">
      <c r="A7" t="inlineStr">
        <is>
          <t>Cerrada</t>
        </is>
      </c>
    </row>
    <row r="8">
      <c r="A8" t="inlineStr">
        <is>
          <t>Operativo</t>
        </is>
      </c>
    </row>
    <row r="9">
      <c r="A9" t="inlineStr">
        <is>
          <t>Operativo con observación</t>
        </is>
      </c>
    </row>
    <row r="10">
      <c r="A10" t="inlineStr">
        <is>
          <t>Fuera de servicio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W43" sqref="W43"/>
    </sheetView>
  </sheetViews>
  <sheetFormatPr baseColWidth="10" defaultColWidth="8.88671875" defaultRowHeight="14.4"/>
  <cols>
    <col width="10.5546875" bestFit="1" customWidth="1" min="1" max="1"/>
    <col width="7.21875" bestFit="1" customWidth="1" min="2" max="2"/>
    <col width="20.44140625" bestFit="1" customWidth="1" min="3" max="3"/>
    <col width="9.109375" bestFit="1" customWidth="1" min="4" max="4"/>
    <col width="14.5546875" bestFit="1" customWidth="1" min="5" max="5"/>
    <col width="25.109375" customWidth="1" min="6" max="6"/>
    <col width="14.109375" bestFit="1" customWidth="1" min="7" max="7"/>
    <col width="27.77734375" customWidth="1" min="9" max="9"/>
    <col width="20.77734375" customWidth="1" min="10" max="10"/>
  </cols>
  <sheetData>
    <row r="1">
      <c r="A1" s="2" t="inlineStr">
        <is>
          <t>Fecha</t>
        </is>
      </c>
      <c r="B1" s="2" t="inlineStr">
        <is>
          <t>Hora</t>
        </is>
      </c>
      <c r="C1" s="2" t="inlineStr">
        <is>
          <t>Área</t>
        </is>
      </c>
      <c r="D1" s="2" t="inlineStr">
        <is>
          <t>Equipo</t>
        </is>
      </c>
      <c r="E1" s="2" t="inlineStr">
        <is>
          <t>Tipo bloqueo</t>
        </is>
      </c>
      <c r="F1" s="2" t="inlineStr">
        <is>
          <t>Motivo</t>
        </is>
      </c>
      <c r="G1" s="2" t="inlineStr">
        <is>
          <t>Responsable</t>
        </is>
      </c>
      <c r="H1" s="2" t="inlineStr">
        <is>
          <t>Estado</t>
        </is>
      </c>
      <c r="I1" s="2" t="inlineStr">
        <is>
          <t>Hora liberación</t>
        </is>
      </c>
      <c r="J1" s="2" t="inlineStr">
        <is>
          <t>Obs</t>
        </is>
      </c>
    </row>
    <row r="2">
      <c r="A2" s="102" t="n">
        <v>46177</v>
      </c>
      <c r="B2" s="103" t="n">
        <v>0.6111111111111112</v>
      </c>
      <c r="C2" t="inlineStr">
        <is>
          <t>Sistema Embarque</t>
        </is>
      </c>
      <c r="D2" t="inlineStr">
        <is>
          <t>CV-104</t>
        </is>
      </c>
      <c r="E2" t="inlineStr">
        <is>
          <t>Mecánico</t>
        </is>
      </c>
      <c r="G2" t="inlineStr">
        <is>
          <t>Jefe Turno</t>
        </is>
      </c>
      <c r="H2" t="inlineStr">
        <is>
          <t>Activo</t>
        </is>
      </c>
    </row>
    <row r="3">
      <c r="A3" s="102" t="n">
        <v>46177</v>
      </c>
      <c r="B3" s="103" t="n">
        <v>0.6111111111111112</v>
      </c>
      <c r="C3" t="inlineStr">
        <is>
          <t>Sistema Embarque</t>
        </is>
      </c>
      <c r="D3" t="inlineStr">
        <is>
          <t>CV-105</t>
        </is>
      </c>
      <c r="E3" t="inlineStr">
        <is>
          <t>Mecánico</t>
        </is>
      </c>
      <c r="G3" t="inlineStr">
        <is>
          <t>Jefe Turno</t>
        </is>
      </c>
      <c r="H3" t="inlineStr">
        <is>
          <t>Activo</t>
        </is>
      </c>
    </row>
    <row r="4">
      <c r="A4" s="102" t="n">
        <v>46177</v>
      </c>
      <c r="B4" s="103" t="n">
        <v>0.6111111111111112</v>
      </c>
      <c r="C4" t="inlineStr">
        <is>
          <t>Sistema Embarque</t>
        </is>
      </c>
      <c r="D4" t="inlineStr">
        <is>
          <t>CV-106</t>
        </is>
      </c>
      <c r="E4" t="inlineStr">
        <is>
          <t>Mecánico</t>
        </is>
      </c>
      <c r="G4" t="inlineStr">
        <is>
          <t>Jefe Turno</t>
        </is>
      </c>
      <c r="H4" t="inlineStr">
        <is>
          <t>Activo</t>
        </is>
      </c>
    </row>
    <row r="5">
      <c r="A5" s="102" t="n">
        <v>46177</v>
      </c>
      <c r="B5" s="103" t="n">
        <v>0.6111111111111112</v>
      </c>
      <c r="C5" t="inlineStr">
        <is>
          <t>Sistema Desembarque</t>
        </is>
      </c>
      <c r="D5" t="inlineStr">
        <is>
          <t>CV-1</t>
        </is>
      </c>
      <c r="E5" t="inlineStr">
        <is>
          <t>Mecánico</t>
        </is>
      </c>
      <c r="G5" t="inlineStr">
        <is>
          <t>Jefe Turno</t>
        </is>
      </c>
      <c r="H5" t="inlineStr">
        <is>
          <t>Activo</t>
        </is>
      </c>
    </row>
    <row r="6">
      <c r="A6" s="102" t="n">
        <v>46177</v>
      </c>
      <c r="B6" s="103" t="n">
        <v>0.6111111111111112</v>
      </c>
      <c r="C6" t="inlineStr">
        <is>
          <t>Sistema Desembarque</t>
        </is>
      </c>
      <c r="D6" t="inlineStr">
        <is>
          <t>CV-10</t>
        </is>
      </c>
      <c r="E6" t="inlineStr">
        <is>
          <t>Mecánico</t>
        </is>
      </c>
      <c r="G6" t="inlineStr">
        <is>
          <t>Jefe Turno</t>
        </is>
      </c>
      <c r="H6" t="inlineStr">
        <is>
          <t>Activo</t>
        </is>
      </c>
    </row>
    <row r="7">
      <c r="A7" s="102" t="n">
        <v>46177</v>
      </c>
      <c r="B7" s="103" t="n">
        <v>0.6111111111111112</v>
      </c>
      <c r="C7" t="inlineStr">
        <is>
          <t>Sistema Desembarque</t>
        </is>
      </c>
      <c r="D7" t="inlineStr">
        <is>
          <t>CV-11</t>
        </is>
      </c>
      <c r="E7" t="inlineStr">
        <is>
          <t>Mecánico</t>
        </is>
      </c>
      <c r="G7" t="inlineStr">
        <is>
          <t>Jefe Turno</t>
        </is>
      </c>
      <c r="H7" t="inlineStr">
        <is>
          <t>Activo</t>
        </is>
      </c>
    </row>
    <row r="8">
      <c r="A8" s="102" t="n">
        <v>46177</v>
      </c>
      <c r="B8" s="103" t="n">
        <v>0.6111111111111112</v>
      </c>
      <c r="C8" t="inlineStr">
        <is>
          <t>Sistema Desembarque</t>
        </is>
      </c>
      <c r="D8" t="inlineStr">
        <is>
          <t>CV-01</t>
        </is>
      </c>
      <c r="E8" t="inlineStr">
        <is>
          <t>Mecánico</t>
        </is>
      </c>
      <c r="G8" t="inlineStr">
        <is>
          <t>Jefe Turno</t>
        </is>
      </c>
      <c r="H8" t="inlineStr">
        <is>
          <t>Activo</t>
        </is>
      </c>
    </row>
    <row r="9">
      <c r="A9" s="102" t="n">
        <v>46177</v>
      </c>
      <c r="B9" s="103" t="n">
        <v>0.6111111111111112</v>
      </c>
      <c r="C9" t="inlineStr">
        <is>
          <t>Sistema Desembarque</t>
        </is>
      </c>
      <c r="D9" t="inlineStr">
        <is>
          <t>CV-02</t>
        </is>
      </c>
      <c r="E9" t="inlineStr">
        <is>
          <t>Mecánico</t>
        </is>
      </c>
      <c r="G9" t="inlineStr">
        <is>
          <t>Jefe Turno</t>
        </is>
      </c>
      <c r="H9" t="inlineStr">
        <is>
          <t>Activo</t>
        </is>
      </c>
    </row>
    <row r="10">
      <c r="A10" s="102" t="n">
        <v>46177</v>
      </c>
      <c r="B10" s="103" t="n">
        <v>0.6111111111111112</v>
      </c>
      <c r="C10" t="inlineStr">
        <is>
          <t>Sistema Desembarque</t>
        </is>
      </c>
      <c r="D10" t="inlineStr">
        <is>
          <t>CV-03</t>
        </is>
      </c>
      <c r="E10" t="inlineStr">
        <is>
          <t>Mecánico</t>
        </is>
      </c>
      <c r="G10" t="inlineStr">
        <is>
          <t>Jefe Turno</t>
        </is>
      </c>
      <c r="H10" t="inlineStr">
        <is>
          <t>Activo</t>
        </is>
      </c>
    </row>
    <row r="11">
      <c r="A11" s="102" t="n">
        <v>46177</v>
      </c>
      <c r="B11" s="103" t="n">
        <v>0.6111111111111112</v>
      </c>
      <c r="C11" t="inlineStr">
        <is>
          <t>Sistema Desembarque</t>
        </is>
      </c>
      <c r="D11" t="inlineStr">
        <is>
          <t>CV-04</t>
        </is>
      </c>
      <c r="E11" t="inlineStr">
        <is>
          <t>Mecánico</t>
        </is>
      </c>
      <c r="G11" t="inlineStr">
        <is>
          <t>Jefe Turno</t>
        </is>
      </c>
      <c r="H11" t="inlineStr">
        <is>
          <t>Activo</t>
        </is>
      </c>
    </row>
  </sheetData>
  <dataValidations count="3">
    <dataValidation sqref="C2:C1000" showDropDown="0" showInputMessage="1" showErrorMessage="1" allowBlank="1" type="list">
      <formula1>"Sistema Embarque,Sistema Desembarque,Planta,Muelle,Patio,Bodega,Taller"</formula1>
    </dataValidation>
    <dataValidation sqref="E2:E1000" showDropDown="0" showInputMessage="1" showErrorMessage="1" allowBlank="1" type="list">
      <formula1>"Mecánico,Eléctrico,Instrumentación,Operacional,Seguridad,Ambiental"</formula1>
    </dataValidation>
    <dataValidation sqref="H2:H1000" showDropDown="0" showInputMessage="1" showErrorMessage="1" allowBlank="1" type="list">
      <formula1>"Activo,Liberado,Pendiente"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H2" sqref="H2"/>
    </sheetView>
  </sheetViews>
  <sheetFormatPr baseColWidth="10" defaultColWidth="8.88671875" defaultRowHeight="14.4"/>
  <cols>
    <col width="10.33203125" bestFit="1" customWidth="1" min="1" max="1"/>
    <col width="8.21875" bestFit="1" customWidth="1" min="2" max="2"/>
    <col width="9.6640625" bestFit="1" customWidth="1" min="3" max="3"/>
    <col width="11.21875" bestFit="1" customWidth="1" min="4" max="4"/>
    <col width="8.5546875" bestFit="1" customWidth="1" min="5" max="5"/>
    <col width="14.109375" bestFit="1" customWidth="1" min="6" max="6"/>
    <col width="10.6640625" bestFit="1" customWidth="1" min="7" max="7"/>
    <col width="9.6640625" bestFit="1" customWidth="1" min="8" max="8"/>
    <col width="15.77734375" bestFit="1" customWidth="1" min="9" max="9"/>
    <col width="10.6640625" bestFit="1" customWidth="1" min="10" max="10"/>
    <col width="6.44140625" bestFit="1" customWidth="1" min="11" max="11"/>
    <col width="13.44140625" bestFit="1" customWidth="1" min="12" max="12"/>
    <col width="6.5546875" bestFit="1" customWidth="1" min="13" max="13"/>
    <col width="9.44140625" bestFit="1" customWidth="1" min="14" max="14"/>
  </cols>
  <sheetData>
    <row r="1">
      <c r="A1" s="2" t="inlineStr">
        <is>
          <t>Fecha</t>
        </is>
      </c>
      <c r="B1" s="2" t="inlineStr">
        <is>
          <t>Turno</t>
        </is>
      </c>
      <c r="C1" s="2" t="inlineStr">
        <is>
          <t>Faena</t>
        </is>
      </c>
      <c r="D1" s="2" t="inlineStr">
        <is>
          <t>Actividad</t>
        </is>
      </c>
      <c r="E1" s="2" t="inlineStr">
        <is>
          <t>Sector</t>
        </is>
      </c>
      <c r="F1" s="2" t="inlineStr">
        <is>
          <t>Responsable</t>
        </is>
      </c>
      <c r="G1" s="2" t="inlineStr">
        <is>
          <t>Personal</t>
        </is>
      </c>
      <c r="H1" s="2" t="inlineStr">
        <is>
          <t>Riesgos</t>
        </is>
      </c>
      <c r="I1" s="2" t="inlineStr">
        <is>
          <t>Consecuencias</t>
        </is>
      </c>
      <c r="J1" s="2" t="inlineStr">
        <is>
          <t>Medidas</t>
        </is>
      </c>
      <c r="K1" s="2" t="inlineStr">
        <is>
          <t>EPP</t>
        </is>
      </c>
      <c r="L1" s="2" t="inlineStr">
        <is>
          <t>Verificación</t>
        </is>
      </c>
      <c r="M1" s="2" t="inlineStr">
        <is>
          <t>Obs</t>
        </is>
      </c>
      <c r="N1" s="2" t="inlineStr">
        <is>
          <t>Estado</t>
        </is>
      </c>
    </row>
    <row r="2">
      <c r="A2" t="inlineStr">
        <is>
          <t>01-04-2026</t>
        </is>
      </c>
      <c r="B2" t="inlineStr">
        <is>
          <t>Día</t>
        </is>
      </c>
      <c r="C2" t="inlineStr">
        <is>
          <t>Embarque</t>
        </is>
      </c>
      <c r="D2" t="inlineStr">
        <is>
          <t>Carga</t>
        </is>
      </c>
      <c r="E2" t="inlineStr">
        <is>
          <t>Muelle</t>
        </is>
      </c>
      <c r="F2" t="inlineStr">
        <is>
          <t>Capataz</t>
        </is>
      </c>
      <c r="G2" t="inlineStr">
        <is>
          <t>3</t>
        </is>
      </c>
      <c r="H2" t="inlineStr">
        <is>
          <t>Golpe</t>
        </is>
      </c>
      <c r="I2" t="inlineStr">
        <is>
          <t>Lesión</t>
        </is>
      </c>
      <c r="J2" t="inlineStr">
        <is>
          <t>Barreras</t>
        </is>
      </c>
      <c r="K2" t="inlineStr">
        <is>
          <t>Casco</t>
        </is>
      </c>
      <c r="L2" t="inlineStr">
        <is>
          <t>OK</t>
        </is>
      </c>
      <c r="N2" t="inlineStr">
        <is>
          <t>Aprobado</t>
        </is>
      </c>
    </row>
  </sheetData>
  <dataValidations count="3">
    <dataValidation sqref="B2:B1000" showDropDown="0" showInputMessage="1" showErrorMessage="1" allowBlank="1" type="list">
      <formula1>"Día,Noche"</formula1>
    </dataValidation>
    <dataValidation sqref="L2:L1000" showDropDown="0" showInputMessage="1" showErrorMessage="1" allowBlank="1" type="list">
      <formula1>"OK,NO OK,Pendiente"</formula1>
    </dataValidation>
    <dataValidation sqref="N2:N1000" showDropDown="0" showInputMessage="1" showErrorMessage="1" allowBlank="1" type="list">
      <formula1>"Aprobado,Rechazado,Pendiente"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J2" sqref="J2"/>
    </sheetView>
  </sheetViews>
  <sheetFormatPr baseColWidth="10" defaultColWidth="8.88671875" defaultRowHeight="14.4"/>
  <cols>
    <col width="10.33203125" bestFit="1" customWidth="1" min="1" max="1"/>
    <col width="8.21875" bestFit="1" customWidth="1" min="2" max="2"/>
    <col width="15.109375" bestFit="1" customWidth="1" min="3" max="3"/>
    <col width="9.109375" bestFit="1" customWidth="1" min="4" max="4"/>
    <col width="12.6640625" bestFit="1" customWidth="1" min="5" max="5"/>
    <col width="14.109375" bestFit="1" customWidth="1" min="6" max="6"/>
    <col width="14.44140625" bestFit="1" customWidth="1" min="7" max="7"/>
    <col width="17.88671875" bestFit="1" customWidth="1" min="8" max="8"/>
    <col width="14" bestFit="1" customWidth="1" min="9" max="9"/>
    <col width="7.88671875" bestFit="1" customWidth="1" min="10" max="10"/>
    <col width="9.33203125" bestFit="1" customWidth="1" min="11" max="11"/>
    <col width="13.44140625" bestFit="1" customWidth="1" min="12" max="12"/>
    <col width="8" bestFit="1" customWidth="1" min="13" max="13"/>
    <col width="9" bestFit="1" customWidth="1" min="14" max="15"/>
    <col width="10" bestFit="1" customWidth="1" min="16" max="16"/>
    <col width="13.88671875" bestFit="1" customWidth="1" min="17" max="17"/>
    <col width="13.21875" bestFit="1" customWidth="1" min="18" max="18"/>
    <col width="14.109375" bestFit="1" customWidth="1" min="19" max="19"/>
    <col width="11.6640625" bestFit="1" customWidth="1" min="20" max="20"/>
    <col width="6.6640625" bestFit="1" customWidth="1" min="21" max="21"/>
  </cols>
  <sheetData>
    <row r="1">
      <c r="A1" s="2" t="inlineStr">
        <is>
          <t>Fecha</t>
        </is>
      </c>
      <c r="B1" s="2" t="inlineStr">
        <is>
          <t>Turno</t>
        </is>
      </c>
      <c r="C1" s="2" t="inlineStr">
        <is>
          <t>Equipo</t>
        </is>
      </c>
      <c r="D1" s="2" t="inlineStr">
        <is>
          <t>Código</t>
        </is>
      </c>
      <c r="E1" s="2" t="inlineStr">
        <is>
          <t>Horómetro</t>
        </is>
      </c>
      <c r="F1" s="2" t="inlineStr">
        <is>
          <t>Combustible</t>
        </is>
      </c>
      <c r="G1" s="2" t="inlineStr">
        <is>
          <t>Aceite motor</t>
        </is>
      </c>
      <c r="H1" s="2" t="inlineStr">
        <is>
          <t>Aceite hidráulico</t>
        </is>
      </c>
      <c r="I1" s="2" t="inlineStr">
        <is>
          <t>Refrigerante</t>
        </is>
      </c>
      <c r="J1" s="2" t="inlineStr">
        <is>
          <t>Luces</t>
        </is>
      </c>
      <c r="K1" s="2" t="inlineStr">
        <is>
          <t>Alarma</t>
        </is>
      </c>
      <c r="L1" s="2" t="inlineStr">
        <is>
          <t>Neumáticos</t>
        </is>
      </c>
      <c r="M1" s="2" t="inlineStr">
        <is>
          <t>Fugas</t>
        </is>
      </c>
      <c r="N1" s="2" t="inlineStr">
        <is>
          <t>Cabina</t>
        </is>
      </c>
      <c r="O1" s="2" t="inlineStr">
        <is>
          <t>Frenos</t>
        </is>
      </c>
      <c r="P1" s="2" t="inlineStr">
        <is>
          <t>Extintor</t>
        </is>
      </c>
      <c r="Q1" s="2" t="inlineStr">
        <is>
          <t>Observación</t>
        </is>
      </c>
      <c r="R1" s="2" t="inlineStr">
        <is>
          <t>Estado final</t>
        </is>
      </c>
      <c r="S1" s="2" t="inlineStr">
        <is>
          <t>Responsable</t>
        </is>
      </c>
      <c r="T1" s="2" t="inlineStr">
        <is>
          <t>Aviso SAP</t>
        </is>
      </c>
      <c r="U1" s="2" t="inlineStr">
        <is>
          <t>Link</t>
        </is>
      </c>
    </row>
    <row r="2">
      <c r="A2" t="inlineStr">
        <is>
          <t>01-04-2026</t>
        </is>
      </c>
      <c r="B2" t="inlineStr">
        <is>
          <t>Día</t>
        </is>
      </c>
      <c r="C2" t="inlineStr">
        <is>
          <t>Cargador Frontal</t>
        </is>
      </c>
      <c r="D2" t="inlineStr">
        <is>
          <t>CF-01</t>
        </is>
      </c>
      <c r="E2" t="n">
        <v>1234</v>
      </c>
      <c r="F2" t="inlineStr">
        <is>
          <t>OK</t>
        </is>
      </c>
      <c r="G2" t="inlineStr">
        <is>
          <t>OK</t>
        </is>
      </c>
      <c r="H2" t="inlineStr">
        <is>
          <t>OK</t>
        </is>
      </c>
      <c r="I2" t="inlineStr">
        <is>
          <t>OK</t>
        </is>
      </c>
      <c r="J2" t="inlineStr">
        <is>
          <t>OK</t>
        </is>
      </c>
      <c r="K2" t="inlineStr">
        <is>
          <t>OK</t>
        </is>
      </c>
      <c r="L2" t="inlineStr">
        <is>
          <t>OK</t>
        </is>
      </c>
      <c r="M2" t="inlineStr">
        <is>
          <t>N/A</t>
        </is>
      </c>
      <c r="N2" t="inlineStr">
        <is>
          <t>OK</t>
        </is>
      </c>
      <c r="O2" t="inlineStr">
        <is>
          <t>OK</t>
        </is>
      </c>
      <c r="P2" t="inlineStr">
        <is>
          <t>OK</t>
        </is>
      </c>
      <c r="Q2" t="inlineStr">
        <is>
          <t>Sin novedades</t>
        </is>
      </c>
      <c r="R2" t="inlineStr">
        <is>
          <t>Operativo</t>
        </is>
      </c>
      <c r="S2" t="inlineStr">
        <is>
          <t>Operador</t>
        </is>
      </c>
      <c r="U2" t="inlineStr">
        <is>
          <t>link</t>
        </is>
      </c>
    </row>
  </sheetData>
  <dataValidations count="3">
    <dataValidation sqref="B2:B1000" showDropDown="0" showInputMessage="1" showErrorMessage="1" allowBlank="1" type="list">
      <formula1>"Día,Noche"</formula1>
    </dataValidation>
    <dataValidation sqref="F2:F1000 G2:G1000 H2:H1000 I2:I1000 J2:J1000 K2:K1000 L2:L1000 M2:M1000 N2:N1000 O2:O1000 P2:P1000" showDropDown="0" showInputMessage="1" showErrorMessage="1" allowBlank="1" type="list">
      <formula1>"OK,NO OK,N/A"</formula1>
    </dataValidation>
    <dataValidation sqref="R2:R1000" showDropDown="0" showInputMessage="1" showErrorMessage="1" allowBlank="1" type="list">
      <formula1>"Operativo,Operativo con observación,Fuera de servicio"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P7" sqref="P7"/>
    </sheetView>
  </sheetViews>
  <sheetFormatPr baseColWidth="10" defaultColWidth="8.88671875" defaultRowHeight="14.4"/>
  <cols>
    <col width="10.33203125" bestFit="1" customWidth="1" min="1" max="1"/>
    <col width="8.21875" bestFit="1" customWidth="1" min="2" max="2"/>
    <col width="7.21875" bestFit="1" customWidth="1" min="3" max="3"/>
    <col width="9.109375" bestFit="1" customWidth="1" min="4" max="5"/>
    <col width="11.77734375" bestFit="1" customWidth="1" min="6" max="6"/>
    <col width="8.5546875" bestFit="1" customWidth="1" min="7" max="7"/>
    <col width="10.21875" bestFit="1" customWidth="1" min="8" max="8"/>
    <col width="11" bestFit="1" customWidth="1" min="9" max="9"/>
    <col width="9.5546875" bestFit="1" customWidth="1" min="10" max="10"/>
    <col width="9.6640625" bestFit="1" customWidth="1" min="11" max="11"/>
    <col width="9.109375" bestFit="1" customWidth="1" min="12" max="12"/>
    <col width="8.5546875" bestFit="1" customWidth="1" min="13" max="13"/>
    <col width="16" bestFit="1" customWidth="1" min="14" max="14"/>
    <col width="12.88671875" bestFit="1" customWidth="1" min="15" max="15"/>
    <col width="13.77734375" bestFit="1" customWidth="1" min="16" max="16"/>
    <col width="7.33203125" bestFit="1" customWidth="1" min="17" max="17"/>
    <col width="13.21875" bestFit="1" customWidth="1" min="18" max="18"/>
    <col width="14.109375" bestFit="1" customWidth="1" min="19" max="19"/>
    <col width="11.6640625" bestFit="1" customWidth="1" min="20" max="20"/>
    <col width="6.6640625" bestFit="1" customWidth="1" min="21" max="21"/>
  </cols>
  <sheetData>
    <row r="1">
      <c r="A1" s="2" t="inlineStr">
        <is>
          <t>Fecha</t>
        </is>
      </c>
      <c r="B1" s="2" t="inlineStr">
        <is>
          <t>Turno</t>
        </is>
      </c>
      <c r="C1" s="2" t="inlineStr">
        <is>
          <t>Área</t>
        </is>
      </c>
      <c r="D1" s="2" t="inlineStr">
        <is>
          <t>Equipo</t>
        </is>
      </c>
      <c r="E1" s="2" t="inlineStr">
        <is>
          <t>Código</t>
        </is>
      </c>
      <c r="F1" s="2" t="inlineStr">
        <is>
          <t>Estructura</t>
        </is>
      </c>
      <c r="G1" s="2" t="inlineStr">
        <is>
          <t>Motor</t>
        </is>
      </c>
      <c r="H1" s="2" t="inlineStr">
        <is>
          <t>Guardas</t>
        </is>
      </c>
      <c r="I1" s="2" t="inlineStr">
        <is>
          <t>Sensores</t>
        </is>
      </c>
      <c r="J1" s="2" t="inlineStr">
        <is>
          <t>Polines</t>
        </is>
      </c>
      <c r="K1" s="2" t="inlineStr">
        <is>
          <t>Correas</t>
        </is>
      </c>
      <c r="L1" s="2" t="inlineStr">
        <is>
          <t>Chutes</t>
        </is>
      </c>
      <c r="M1" s="2" t="inlineStr">
        <is>
          <t>Tolvas</t>
        </is>
      </c>
      <c r="N1" s="2" t="inlineStr">
        <is>
          <t>Alimentadores</t>
        </is>
      </c>
      <c r="O1" s="2" t="inlineStr">
        <is>
          <t>Captadores</t>
        </is>
      </c>
      <c r="P1" s="2" t="inlineStr">
        <is>
          <t>Nebulizador</t>
        </is>
      </c>
      <c r="Q1" s="2" t="inlineStr">
        <is>
          <t>Obs</t>
        </is>
      </c>
      <c r="R1" s="2" t="inlineStr">
        <is>
          <t>Estado final</t>
        </is>
      </c>
      <c r="S1" s="2" t="inlineStr">
        <is>
          <t>Responsable</t>
        </is>
      </c>
      <c r="T1" s="2" t="inlineStr">
        <is>
          <t>Aviso SAP</t>
        </is>
      </c>
      <c r="U1" s="2" t="inlineStr">
        <is>
          <t>Link</t>
        </is>
      </c>
    </row>
    <row r="2">
      <c r="A2" t="inlineStr">
        <is>
          <t>01-04-2026</t>
        </is>
      </c>
      <c r="B2" t="inlineStr">
        <is>
          <t>Día</t>
        </is>
      </c>
      <c r="C2" t="inlineStr">
        <is>
          <t>Planta</t>
        </is>
      </c>
      <c r="D2" t="inlineStr">
        <is>
          <t>Correa 1</t>
        </is>
      </c>
      <c r="E2" t="inlineStr">
        <is>
          <t>C-01</t>
        </is>
      </c>
      <c r="F2" t="inlineStr">
        <is>
          <t>OK</t>
        </is>
      </c>
      <c r="G2" t="inlineStr">
        <is>
          <t>OK</t>
        </is>
      </c>
      <c r="H2" t="inlineStr">
        <is>
          <t>OK</t>
        </is>
      </c>
      <c r="I2" t="inlineStr">
        <is>
          <t>OK</t>
        </is>
      </c>
      <c r="J2" t="inlineStr">
        <is>
          <t>OK</t>
        </is>
      </c>
      <c r="K2" t="inlineStr">
        <is>
          <t>OK</t>
        </is>
      </c>
      <c r="L2" t="inlineStr">
        <is>
          <t>OK</t>
        </is>
      </c>
      <c r="M2" t="inlineStr">
        <is>
          <t>OK</t>
        </is>
      </c>
      <c r="N2" t="inlineStr">
        <is>
          <t>OK</t>
        </is>
      </c>
      <c r="O2" t="inlineStr">
        <is>
          <t>OK</t>
        </is>
      </c>
      <c r="P2" t="inlineStr">
        <is>
          <t>OK</t>
        </is>
      </c>
      <c r="Q2" t="inlineStr">
        <is>
          <t>Normal</t>
        </is>
      </c>
      <c r="R2" t="inlineStr">
        <is>
          <t>Operativo</t>
        </is>
      </c>
      <c r="S2" t="inlineStr">
        <is>
          <t>Mantención</t>
        </is>
      </c>
      <c r="U2" t="inlineStr">
        <is>
          <t>link</t>
        </is>
      </c>
    </row>
  </sheetData>
  <dataValidations count="4">
    <dataValidation sqref="B2:B1000" showDropDown="0" showInputMessage="1" showErrorMessage="1" allowBlank="1" type="list">
      <formula1>"Día,Noche"</formula1>
    </dataValidation>
    <dataValidation sqref="C2:C1000" showDropDown="0" showInputMessage="1" showErrorMessage="1" allowBlank="1" type="list">
      <formula1>"Sistema Embarque,Sistema Desembarque,Planta,Muelle,Patio,Bodega,Taller"</formula1>
    </dataValidation>
    <dataValidation sqref="F2:F1000 G2:G1000 H2:H1000 I2:I1000 J2:J1000 K2:K1000 L2:L1000 M2:M1000 N2:N1000 O2:O1000 P2:P1000" showDropDown="0" showInputMessage="1" showErrorMessage="1" allowBlank="1" type="list">
      <formula1>"OK,NO OK,N/A"</formula1>
    </dataValidation>
    <dataValidation sqref="R2:R1000" showDropDown="0" showInputMessage="1" showErrorMessage="1" allowBlank="1" type="list">
      <formula1>"Operativo,Operativo con observación,Fuera de servicio"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K3" sqref="K3"/>
    </sheetView>
  </sheetViews>
  <sheetFormatPr baseColWidth="10" defaultColWidth="8.88671875" defaultRowHeight="14.4"/>
  <cols>
    <col width="10.33203125" bestFit="1" customWidth="1" min="1" max="1"/>
    <col width="7.21875" bestFit="1" customWidth="1" min="2" max="2"/>
    <col width="16" bestFit="1" customWidth="1" min="3" max="3"/>
    <col width="9.109375" bestFit="1" customWidth="1" min="4" max="4"/>
    <col width="11.21875" bestFit="1" customWidth="1" min="5" max="5"/>
    <col width="10" bestFit="1" customWidth="1" min="6" max="6"/>
    <col width="19" bestFit="1" customWidth="1" min="7" max="7"/>
    <col width="14.109375" bestFit="1" customWidth="1" min="8" max="8"/>
    <col width="6.5546875" bestFit="1" customWidth="1" min="9" max="9"/>
    <col width="14.44140625" bestFit="1" customWidth="1" min="12" max="12"/>
  </cols>
  <sheetData>
    <row r="1">
      <c r="A1" s="2" t="inlineStr">
        <is>
          <t>Fecha</t>
        </is>
      </c>
      <c r="B1" s="2" t="inlineStr">
        <is>
          <t>Área</t>
        </is>
      </c>
      <c r="C1" s="2" t="inlineStr">
        <is>
          <t>Procedimiento</t>
        </is>
      </c>
      <c r="D1" s="2" t="inlineStr">
        <is>
          <t>Código</t>
        </is>
      </c>
      <c r="E1" s="2" t="inlineStr">
        <is>
          <t>Actividad</t>
        </is>
      </c>
      <c r="F1" s="2" t="inlineStr">
        <is>
          <t>Vigente</t>
        </is>
      </c>
      <c r="G1" s="2" t="inlineStr">
        <is>
          <t>Personal instruido</t>
        </is>
      </c>
      <c r="H1" s="2" t="inlineStr">
        <is>
          <t>Responsable</t>
        </is>
      </c>
      <c r="I1" s="2" t="inlineStr">
        <is>
          <t>Obs</t>
        </is>
      </c>
      <c r="J1" s="2" t="inlineStr">
        <is>
          <t>Acción</t>
        </is>
      </c>
      <c r="K1" s="2" t="inlineStr">
        <is>
          <t>Estado</t>
        </is>
      </c>
      <c r="L1" s="2" t="inlineStr">
        <is>
          <t>Próx revisión</t>
        </is>
      </c>
    </row>
    <row r="2">
      <c r="A2" t="inlineStr">
        <is>
          <t>01-04-2026</t>
        </is>
      </c>
      <c r="B2" t="inlineStr">
        <is>
          <t>Muelle</t>
        </is>
      </c>
      <c r="C2" t="inlineStr">
        <is>
          <t>PTS Carga</t>
        </is>
      </c>
      <c r="D2" t="inlineStr">
        <is>
          <t>PTS-01</t>
        </is>
      </c>
      <c r="E2" t="inlineStr">
        <is>
          <t>Embarque</t>
        </is>
      </c>
      <c r="F2" t="inlineStr">
        <is>
          <t>Sí</t>
        </is>
      </c>
      <c r="G2" t="inlineStr">
        <is>
          <t>Sí</t>
        </is>
      </c>
      <c r="H2" t="inlineStr">
        <is>
          <t>Prevención</t>
        </is>
      </c>
      <c r="K2" t="inlineStr">
        <is>
          <t>Vigente</t>
        </is>
      </c>
      <c r="L2" t="inlineStr">
        <is>
          <t>01-10-2026</t>
        </is>
      </c>
    </row>
  </sheetData>
  <dataValidations count="3">
    <dataValidation sqref="F2:F1000" showDropDown="0" showInputMessage="1" showErrorMessage="1" allowBlank="1" type="list">
      <formula1>"Sí,No"</formula1>
    </dataValidation>
    <dataValidation sqref="G2:G1000" showDropDown="0" showInputMessage="1" showErrorMessage="1" allowBlank="1" type="list">
      <formula1>"Sí,No,Parcial"</formula1>
    </dataValidation>
    <dataValidation sqref="K2:K1000" showDropDown="0" showInputMessage="1" showErrorMessage="1" allowBlank="1" type="list">
      <formula1>"Vigente,Vencido,En revisión"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:P1048576"/>
    </sheetView>
  </sheetViews>
  <sheetFormatPr baseColWidth="10" defaultColWidth="8.88671875" defaultRowHeight="14.4"/>
  <cols>
    <col width="5.77734375" bestFit="1" customWidth="1" min="1" max="1"/>
    <col width="10.33203125" bestFit="1" customWidth="1" min="2" max="2"/>
    <col width="7.21875" bestFit="1" customWidth="1" min="3" max="4"/>
    <col width="9.109375" bestFit="1" customWidth="1" min="5" max="5"/>
    <col width="9.5546875" bestFit="1" customWidth="1" min="6" max="6"/>
    <col width="13.5546875" bestFit="1" customWidth="1" min="7" max="7"/>
    <col width="10.44140625" bestFit="1" customWidth="1" min="9" max="9"/>
    <col width="14.109375" bestFit="1" customWidth="1" min="10" max="10"/>
    <col width="11.109375" bestFit="1" customWidth="1" min="12" max="12"/>
    <col width="11.6640625" bestFit="1" customWidth="1" min="13" max="13"/>
    <col width="9" bestFit="1" customWidth="1" min="14" max="14"/>
    <col width="11.33203125" bestFit="1" customWidth="1" min="15" max="15"/>
    <col width="8.44140625" bestFit="1" customWidth="1" min="16" max="16"/>
  </cols>
  <sheetData>
    <row r="1">
      <c r="A1" s="2" t="inlineStr">
        <is>
          <t>ID</t>
        </is>
      </c>
      <c r="B1" s="2" t="inlineStr">
        <is>
          <t>Fecha</t>
        </is>
      </c>
      <c r="C1" s="2" t="inlineStr">
        <is>
          <t>Hora</t>
        </is>
      </c>
      <c r="D1" s="2" t="inlineStr">
        <is>
          <t>Área</t>
        </is>
      </c>
      <c r="E1" s="2" t="inlineStr">
        <is>
          <t>Equipo</t>
        </is>
      </c>
      <c r="F1" s="2" t="inlineStr">
        <is>
          <t>Tipo</t>
        </is>
      </c>
      <c r="G1" s="2" t="inlineStr">
        <is>
          <t>Descripción</t>
        </is>
      </c>
      <c r="H1" s="2" t="inlineStr">
        <is>
          <t>Riesgo</t>
        </is>
      </c>
      <c r="I1" s="2" t="inlineStr">
        <is>
          <t>Acción</t>
        </is>
      </c>
      <c r="J1" s="2" t="inlineStr">
        <is>
          <t>Responsable</t>
        </is>
      </c>
      <c r="K1" s="2" t="inlineStr">
        <is>
          <t>Estado</t>
        </is>
      </c>
      <c r="L1" s="2" t="inlineStr">
        <is>
          <t>Prioridad</t>
        </is>
      </c>
      <c r="M1" s="2" t="inlineStr">
        <is>
          <t>Aviso SAP</t>
        </is>
      </c>
      <c r="N1" s="2" t="inlineStr">
        <is>
          <t>N° SAP</t>
        </is>
      </c>
      <c r="O1" s="2" t="inlineStr">
        <is>
          <t>Evidencia</t>
        </is>
      </c>
      <c r="P1" s="2" t="inlineStr">
        <is>
          <t>Cierre</t>
        </is>
      </c>
    </row>
    <row r="2">
      <c r="A2" t="inlineStr">
        <is>
          <t>A-001</t>
        </is>
      </c>
      <c r="B2" t="inlineStr">
        <is>
          <t>01-04-2026</t>
        </is>
      </c>
      <c r="C2" t="inlineStr">
        <is>
          <t>09:10</t>
        </is>
      </c>
      <c r="D2" t="inlineStr">
        <is>
          <t>Muelle</t>
        </is>
      </c>
      <c r="E2" t="inlineStr">
        <is>
          <t>Grúa</t>
        </is>
      </c>
      <c r="F2" t="inlineStr">
        <is>
          <t>Seguridad</t>
        </is>
      </c>
      <c r="G2" t="inlineStr">
        <is>
          <t>Baranda suelta</t>
        </is>
      </c>
      <c r="H2" t="inlineStr">
        <is>
          <t>Caída</t>
        </is>
      </c>
      <c r="I2" t="inlineStr">
        <is>
          <t>Cierre área</t>
        </is>
      </c>
      <c r="J2" t="inlineStr">
        <is>
          <t>Jefe Turno</t>
        </is>
      </c>
      <c r="K2" t="inlineStr">
        <is>
          <t>Abierta</t>
        </is>
      </c>
      <c r="L2" t="inlineStr">
        <is>
          <t>Alta</t>
        </is>
      </c>
      <c r="M2" t="inlineStr">
        <is>
          <t>Sí</t>
        </is>
      </c>
      <c r="N2" t="inlineStr">
        <is>
          <t>11111</t>
        </is>
      </c>
      <c r="O2" t="inlineStr">
        <is>
          <t>link</t>
        </is>
      </c>
    </row>
  </sheetData>
  <dataValidations count="4">
    <dataValidation sqref="F2:F1000" showDropDown="0" showInputMessage="1" showErrorMessage="1" allowBlank="1" type="list">
      <formula1>"Operacional,Seguridad,Mantenimiento,Ambiental,Documental"</formula1>
    </dataValidation>
    <dataValidation sqref="K2:K1000" showDropDown="0" showInputMessage="1" showErrorMessage="1" allowBlank="1" type="list">
      <formula1>"Abierta,En seguimiento,Cerrada"</formula1>
    </dataValidation>
    <dataValidation sqref="L2:L1000" showDropDown="0" showInputMessage="1" showErrorMessage="1" allowBlank="1" type="list">
      <formula1>"Alta,Media,Baja"</formula1>
    </dataValidation>
    <dataValidation sqref="M2:M1000" showDropDown="0" showInputMessage="1" showErrorMessage="1" allowBlank="1" type="list">
      <formula1>"Sí,No"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pane ySplit="1" topLeftCell="A2" activePane="bottomLeft" state="frozen"/>
      <selection pane="bottomLeft" activeCell="A1" sqref="A1:N1048576"/>
    </sheetView>
  </sheetViews>
  <sheetFormatPr baseColWidth="10" defaultColWidth="8.88671875" defaultRowHeight="14.4"/>
  <cols>
    <col width="10.33203125" bestFit="1" customWidth="1" min="1" max="1"/>
    <col width="7.21875" bestFit="1" customWidth="1" min="2" max="2"/>
    <col width="9.109375" bestFit="1" customWidth="1" min="3" max="4"/>
    <col width="13.21875" bestFit="1" customWidth="1" min="5" max="5"/>
    <col width="11.109375" bestFit="1" customWidth="1" min="6" max="7"/>
    <col width="11.6640625" bestFit="1" customWidth="1" min="8" max="8"/>
    <col width="15.109375" bestFit="1" customWidth="1" min="9" max="9"/>
    <col width="14.109375" bestFit="1" customWidth="1" min="12" max="12"/>
    <col width="8.44140625" bestFit="1" customWidth="1" min="13" max="13"/>
    <col width="14.109375" bestFit="1" customWidth="1" min="14" max="14"/>
  </cols>
  <sheetData>
    <row r="1">
      <c r="A1" s="2" t="inlineStr">
        <is>
          <t>Fecha</t>
        </is>
      </c>
      <c r="B1" s="2" t="inlineStr">
        <is>
          <t>Hora</t>
        </is>
      </c>
      <c r="C1" s="2" t="inlineStr">
        <is>
          <t>Equipo</t>
        </is>
      </c>
      <c r="D1" s="2" t="inlineStr">
        <is>
          <t>Código</t>
        </is>
      </c>
      <c r="E1" s="2" t="inlineStr">
        <is>
          <t>Descripción</t>
        </is>
      </c>
      <c r="F1" s="2" t="inlineStr">
        <is>
          <t>Tipo falla</t>
        </is>
      </c>
      <c r="G1" s="2" t="inlineStr">
        <is>
          <t>Prioridad</t>
        </is>
      </c>
      <c r="H1" s="2" t="inlineStr">
        <is>
          <t>Aviso SAP</t>
        </is>
      </c>
      <c r="I1" s="2" t="inlineStr">
        <is>
          <t>Generado por</t>
        </is>
      </c>
      <c r="J1" s="2" t="inlineStr">
        <is>
          <t>Estado</t>
        </is>
      </c>
      <c r="K1" s="2" t="inlineStr">
        <is>
          <t>Acción</t>
        </is>
      </c>
      <c r="L1" s="2" t="inlineStr">
        <is>
          <t>Responsable</t>
        </is>
      </c>
      <c r="M1" s="2" t="inlineStr">
        <is>
          <t>Cierre</t>
        </is>
      </c>
      <c r="N1" s="2" t="inlineStr">
        <is>
          <t>Comentarios</t>
        </is>
      </c>
    </row>
    <row r="2">
      <c r="A2" t="inlineStr">
        <is>
          <t>01-04-2026</t>
        </is>
      </c>
      <c r="B2" t="inlineStr">
        <is>
          <t>10:00</t>
        </is>
      </c>
      <c r="C2" t="inlineStr">
        <is>
          <t>Grúa</t>
        </is>
      </c>
      <c r="D2" t="inlineStr">
        <is>
          <t>G-01</t>
        </is>
      </c>
      <c r="E2" t="inlineStr">
        <is>
          <t>Fuga aceite</t>
        </is>
      </c>
      <c r="F2" t="inlineStr">
        <is>
          <t>Mecánica</t>
        </is>
      </c>
      <c r="G2" t="inlineStr">
        <is>
          <t>Alta</t>
        </is>
      </c>
      <c r="H2" t="inlineStr">
        <is>
          <t>22222</t>
        </is>
      </c>
      <c r="I2" t="inlineStr">
        <is>
          <t>J.Turno</t>
        </is>
      </c>
      <c r="J2" t="inlineStr">
        <is>
          <t>Abierto</t>
        </is>
      </c>
      <c r="K2" t="inlineStr">
        <is>
          <t>Aislar</t>
        </is>
      </c>
      <c r="L2" t="inlineStr">
        <is>
          <t>Mantención</t>
        </is>
      </c>
    </row>
  </sheetData>
  <dataValidations count="3">
    <dataValidation sqref="F2:F1000" showDropDown="0" showInputMessage="1" showErrorMessage="1" allowBlank="1" type="list">
      <formula1>"Mecánica,Eléctrica,Instrumentación,Operacional,Estructural"</formula1>
    </dataValidation>
    <dataValidation sqref="G2:G1000" showDropDown="0" showInputMessage="1" showErrorMessage="1" allowBlank="1" type="list">
      <formula1>"Alta,Media,Baja"</formula1>
    </dataValidation>
    <dataValidation sqref="J2:J1000" showDropDown="0" showInputMessage="1" showErrorMessage="1" allowBlank="1" type="list">
      <formula1>"Abierto,En proceso,Cerrado"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:H1048576"/>
    </sheetView>
  </sheetViews>
  <sheetFormatPr baseColWidth="10" defaultColWidth="8.88671875" defaultRowHeight="14.4"/>
  <cols>
    <col width="7.21875" bestFit="1" customWidth="1" min="1" max="1"/>
    <col width="10.77734375" bestFit="1" customWidth="1" min="2" max="2"/>
    <col width="7.77734375" bestFit="1" customWidth="1" min="3" max="3"/>
    <col width="10.5546875" bestFit="1" customWidth="1" min="4" max="4"/>
    <col width="12.21875" bestFit="1" customWidth="1" min="6" max="6"/>
    <col width="6.5546875" bestFit="1" customWidth="1" min="8" max="8"/>
  </cols>
  <sheetData>
    <row r="1">
      <c r="A1" s="2" t="inlineStr">
        <is>
          <t>Hora</t>
        </is>
      </c>
      <c r="B1" s="2" t="inlineStr">
        <is>
          <t>Evento</t>
        </is>
      </c>
      <c r="C1" s="2" t="inlineStr">
        <is>
          <t>Área</t>
        </is>
      </c>
      <c r="D1" s="2" t="inlineStr">
        <is>
          <t>Impacto</t>
        </is>
      </c>
      <c r="E1" s="2" t="inlineStr">
        <is>
          <t>Acción</t>
        </is>
      </c>
      <c r="F1" s="2" t="inlineStr">
        <is>
          <t>Informado</t>
        </is>
      </c>
      <c r="G1" s="2" t="inlineStr">
        <is>
          <t>Estado</t>
        </is>
      </c>
      <c r="H1" s="2" t="inlineStr">
        <is>
          <t>Obs</t>
        </is>
      </c>
    </row>
    <row r="2">
      <c r="A2" t="inlineStr">
        <is>
          <t>08:30</t>
        </is>
      </c>
      <c r="B2" t="inlineStr">
        <is>
          <t>Inicio turno</t>
        </is>
      </c>
      <c r="C2" t="inlineStr">
        <is>
          <t>General</t>
        </is>
      </c>
      <c r="D2" t="inlineStr">
        <is>
          <t>Producción</t>
        </is>
      </c>
      <c r="G2" t="inlineStr">
        <is>
          <t>OK</t>
        </is>
      </c>
    </row>
  </sheetData>
  <dataValidations count="3">
    <dataValidation sqref="C2:C1000" showDropDown="0" showInputMessage="1" showErrorMessage="1" allowBlank="1" type="list">
      <formula1>"General,Sistema Embarque,Sistema Desembarque,Planta,Muelle,Patio,Bodega,Taller"</formula1>
    </dataValidation>
    <dataValidation sqref="D2:D1000" showDropDown="0" showInputMessage="1" showErrorMessage="1" allowBlank="1" type="list">
      <formula1>"Seguridad,Producción,Ambiente,Mantención,Sin impacto"</formula1>
    </dataValidation>
    <dataValidation sqref="G2:G1000" showDropDown="0" showInputMessage="1" showErrorMessage="1" allowBlank="1" type="list">
      <formula1>"OK,Pendiente,En proceso,Cerrado"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N2" sqref="N2"/>
    </sheetView>
  </sheetViews>
  <sheetFormatPr baseColWidth="10" defaultColWidth="8.88671875" defaultRowHeight="14.4"/>
  <cols>
    <col width="10.33203125" bestFit="1" customWidth="1" min="1" max="1"/>
    <col width="15.5546875" bestFit="1" customWidth="1" min="2" max="2"/>
    <col width="16.109375" bestFit="1" customWidth="1" min="3" max="3"/>
    <col width="14.109375" bestFit="1" customWidth="1" min="4" max="4"/>
    <col width="14.6640625" bestFit="1" customWidth="1" min="5" max="5"/>
    <col width="18" bestFit="1" customWidth="1" min="6" max="6"/>
    <col width="12.88671875" bestFit="1" customWidth="1" min="7" max="7"/>
    <col width="14.109375" bestFit="1" customWidth="1" min="8" max="8"/>
    <col width="11.21875" bestFit="1" customWidth="1" min="9" max="9"/>
    <col width="12.44140625" bestFit="1" customWidth="1" min="10" max="10"/>
    <col width="9.6640625" bestFit="1" customWidth="1" min="11" max="11"/>
    <col width="13.33203125" bestFit="1" customWidth="1" min="12" max="12"/>
    <col width="19" bestFit="1" customWidth="1" min="13" max="13"/>
    <col width="8" bestFit="1" customWidth="1" min="14" max="14"/>
  </cols>
  <sheetData>
    <row r="1">
      <c r="A1" s="2" t="inlineStr">
        <is>
          <t>Fecha</t>
        </is>
      </c>
      <c r="B1" s="2" t="inlineStr">
        <is>
          <t>Turno saliente</t>
        </is>
      </c>
      <c r="C1" s="2" t="inlineStr">
        <is>
          <t>Turno entrante</t>
        </is>
      </c>
      <c r="D1" s="2" t="inlineStr">
        <is>
          <t>Jefe saliente</t>
        </is>
      </c>
      <c r="E1" s="2" t="inlineStr">
        <is>
          <t>Jefe entrante</t>
        </is>
      </c>
      <c r="F1" s="2" t="inlineStr">
        <is>
          <t>Estado operación</t>
        </is>
      </c>
      <c r="G1" s="2" t="inlineStr">
        <is>
          <t>Equipos OK</t>
        </is>
      </c>
      <c r="H1" s="2" t="inlineStr">
        <is>
          <t>Equipos falla</t>
        </is>
      </c>
      <c r="I1" s="2" t="inlineStr">
        <is>
          <t>Bloqueos</t>
        </is>
      </c>
      <c r="J1" s="2" t="inlineStr">
        <is>
          <t>Avisos SAP</t>
        </is>
      </c>
      <c r="K1" s="2" t="inlineStr">
        <is>
          <t>Riesgos</t>
        </is>
      </c>
      <c r="L1" s="2" t="inlineStr">
        <is>
          <t>Pendientes</t>
        </is>
      </c>
      <c r="M1" s="2" t="inlineStr">
        <is>
          <t>Recomendaciones</t>
        </is>
      </c>
      <c r="N1" s="2" t="inlineStr">
        <is>
          <t>Firma</t>
        </is>
      </c>
    </row>
    <row r="2">
      <c r="A2" t="inlineStr">
        <is>
          <t>01-04-2026</t>
        </is>
      </c>
      <c r="B2" t="inlineStr">
        <is>
          <t>Noche</t>
        </is>
      </c>
      <c r="C2" t="inlineStr">
        <is>
          <t>Día</t>
        </is>
      </c>
      <c r="D2" t="inlineStr">
        <is>
          <t>Juan</t>
        </is>
      </c>
      <c r="E2" t="inlineStr">
        <is>
          <t>Pedro</t>
        </is>
      </c>
      <c r="F2" t="inlineStr">
        <is>
          <t>Normal</t>
        </is>
      </c>
      <c r="G2" t="inlineStr">
        <is>
          <t>10</t>
        </is>
      </c>
      <c r="H2" t="inlineStr">
        <is>
          <t>1</t>
        </is>
      </c>
      <c r="I2" t="inlineStr">
        <is>
          <t>1</t>
        </is>
      </c>
      <c r="J2" t="inlineStr">
        <is>
          <t>2</t>
        </is>
      </c>
      <c r="K2" t="inlineStr">
        <is>
          <t>1</t>
        </is>
      </c>
      <c r="L2" t="inlineStr">
        <is>
          <t>Revisar Correa</t>
        </is>
      </c>
      <c r="M2" t="inlineStr">
        <is>
          <t>Mantener bloqueo</t>
        </is>
      </c>
    </row>
  </sheetData>
  <dataValidations count="2">
    <dataValidation sqref="B2:B1000 C2:C1000" showDropDown="0" showInputMessage="1" showErrorMessage="1" allowBlank="1" type="list">
      <formula1>"Día,Noche"</formula1>
    </dataValidation>
    <dataValidation sqref="F2:F1000" showDropDown="0" showInputMessage="1" showErrorMessage="1" allowBlank="1" type="list">
      <formula1>"Normal,Reducida,Detenida,Emergencia"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J5" sqref="J5"/>
    </sheetView>
  </sheetViews>
  <sheetFormatPr baseColWidth="10" defaultColWidth="8.88671875" defaultRowHeight="14.4"/>
  <cols>
    <col width="10.44140625" bestFit="1" customWidth="1" style="107" min="1" max="1"/>
    <col width="10.44140625" bestFit="1" customWidth="1" min="2" max="2"/>
    <col width="10.109375" bestFit="1" customWidth="1" min="3" max="3"/>
    <col width="15.21875" bestFit="1" customWidth="1" min="4" max="4"/>
    <col width="9.44140625" bestFit="1" customWidth="1" min="5" max="5"/>
    <col width="14.6640625" bestFit="1" customWidth="1" min="6" max="6"/>
    <col width="10.33203125" bestFit="1" customWidth="1" min="7" max="7"/>
    <col width="16.33203125" bestFit="1" customWidth="1" style="109" min="8" max="8"/>
    <col width="19.5546875" bestFit="1" customWidth="1" style="109" min="9" max="9"/>
    <col width="17.44140625" bestFit="1" customWidth="1" min="10" max="10"/>
    <col width="11.5546875" bestFit="1" customWidth="1" style="104" min="11" max="11"/>
    <col width="18" bestFit="1" customWidth="1" min="12" max="12"/>
    <col width="23.44140625" bestFit="1" customWidth="1" min="13" max="13"/>
  </cols>
  <sheetData>
    <row r="1">
      <c r="A1" s="106" t="inlineStr">
        <is>
          <t>Fecha</t>
        </is>
      </c>
      <c r="B1" s="105" t="inlineStr">
        <is>
          <t>Turno</t>
        </is>
      </c>
      <c r="C1" s="105" t="inlineStr">
        <is>
          <t>Canal</t>
        </is>
      </c>
      <c r="D1" s="105" t="inlineStr">
        <is>
          <t>Código VHF</t>
        </is>
      </c>
      <c r="E1" s="105" t="inlineStr">
        <is>
          <t>Área</t>
        </is>
      </c>
      <c r="F1" s="105" t="inlineStr">
        <is>
          <t>Asignado a</t>
        </is>
      </c>
      <c r="G1" s="105" t="inlineStr">
        <is>
          <t>Cargo</t>
        </is>
      </c>
      <c r="H1" s="108" t="inlineStr">
        <is>
          <t>Hora Entrega</t>
        </is>
      </c>
      <c r="I1" s="108" t="inlineStr">
        <is>
          <t>Hora Devolución</t>
        </is>
      </c>
      <c r="J1" s="105" t="inlineStr">
        <is>
          <t>Estado Equipo</t>
        </is>
      </c>
      <c r="K1" s="110" t="inlineStr">
        <is>
          <t>Batería</t>
        </is>
      </c>
      <c r="L1" s="105" t="inlineStr">
        <is>
          <t>Observaciones</t>
        </is>
      </c>
      <c r="M1" s="105" t="inlineStr">
        <is>
          <t>Responsable Entrega</t>
        </is>
      </c>
    </row>
    <row r="2">
      <c r="A2" s="107" t="n">
        <v>46026</v>
      </c>
      <c r="B2" t="inlineStr">
        <is>
          <t>Día</t>
        </is>
      </c>
      <c r="C2" t="n">
        <v>1</v>
      </c>
      <c r="D2" t="inlineStr">
        <is>
          <t>VHF-001</t>
        </is>
      </c>
      <c r="E2" t="inlineStr">
        <is>
          <t>Muelle</t>
        </is>
      </c>
      <c r="F2" t="inlineStr">
        <is>
          <t>Juan Pérez</t>
        </is>
      </c>
      <c r="G2" t="inlineStr">
        <is>
          <t>Operador</t>
        </is>
      </c>
      <c r="H2" s="109" t="n">
        <v>0.3333333333333333</v>
      </c>
      <c r="J2" t="inlineStr">
        <is>
          <t>Operativo</t>
        </is>
      </c>
      <c r="K2" s="104" t="n">
        <v>1</v>
      </c>
      <c r="L2" t="inlineStr">
        <is>
          <t>Sin novedades</t>
        </is>
      </c>
      <c r="M2" t="inlineStr">
        <is>
          <t>Jefe Turno</t>
        </is>
      </c>
    </row>
  </sheetData>
  <dataValidations count="5">
    <dataValidation sqref="B2:B1000" showDropDown="0" showInputMessage="1" showErrorMessage="1" allowBlank="1" type="list">
      <formula1>"Día,Noche"</formula1>
    </dataValidation>
    <dataValidation sqref="C2:C1000" showDropDown="0" showInputMessage="1" showErrorMessage="1" allowBlank="1" type="list">
      <formula1>"1,2,3,4,5,6,7,8,9,10"</formula1>
    </dataValidation>
    <dataValidation sqref="E2:E1000" showDropDown="0" showInputMessage="1" showErrorMessage="1" allowBlank="1" type="list">
      <formula1>"Sistema Embarque,Sistema Desembarque,Planta,Muelle,Patio,Bodega,Taller,General"</formula1>
    </dataValidation>
    <dataValidation sqref="J2:J1000" showDropDown="0" showInputMessage="1" showErrorMessage="1" allowBlank="1" type="list">
      <formula1>"Operativo,Con falla,Fuera de servicio"</formula1>
    </dataValidation>
    <dataValidation sqref="K2:K1000" showDropDown="0" showInputMessage="1" showErrorMessage="1" allowBlank="1" type="list">
      <formula1>"100%,75%,50%,25%,Baja"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2026-04-06T18:20:28Z</dcterms:created>
  <dcterms:modified xmlns:dcterms="http://purl.org/dc/terms/" xmlns:xsi="http://www.w3.org/2001/XMLSchema-instance" xsi:type="dcterms:W3CDTF">2026-04-07T02:45:22Z</dcterms:modified>
  <cp:lastModifiedBy>micchio romero</cp:lastModifiedBy>
</cp:coreProperties>
</file>